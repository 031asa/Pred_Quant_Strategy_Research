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65c3c1aa3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a9f507aa4fd54fc6"/>
    <x:sheet xmlns:r="http://schemas.openxmlformats.org/officeDocument/2006/relationships" name="全样本阈值表" sheetId="2" r:id="R723e83c7039446ba"/>
    <x:sheet xmlns:r="http://schemas.openxmlformats.org/officeDocument/2006/relationships" name="验证集阈值表" sheetId="3" r:id="R89829f2e49984bea"/>
    <x:sheet xmlns:r="http://schemas.openxmlformats.org/officeDocument/2006/relationships" name="测试集阈值表" sheetId="4" r:id="R45877d8840664620"/>
    <x:sheet xmlns:r="http://schemas.openxmlformats.org/officeDocument/2006/relationships" name="ROC曲线数据" sheetId="5" r:id="R3e23e52cbbd9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%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11"/>
      <x:color rgb="FF008000"/>
      <x:name val="Carlito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</x:fills>
  <x:borders count="5">
    <x:border/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bottom style="thin">
        <x:color rgb="FFD9E1F2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200" fontId="0" fillId="0" borderId="4" xfId="0" applyNumberFormat="1" applyFont="1" applyFill="1" applyBorder="1"/>
    <x:xf numFmtId="200" fontId="7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7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9901dba254609" /><Relationship Type="http://schemas.openxmlformats.org/officeDocument/2006/relationships/theme" Target="/xl/theme/theme1.xml" Id="R00db26990f7d4690" /><Relationship Type="http://schemas.openxmlformats.org/officeDocument/2006/relationships/sharedStrings" Target="/xl/sharedStrings.xml" Id="R28af33fa6d2d4112" /><Relationship Type="http://schemas.openxmlformats.org/officeDocument/2006/relationships/worksheet" Target="/xl/worksheets/sheet1.xml" Id="Ra9f507aa4fd54fc6" /><Relationship Type="http://schemas.openxmlformats.org/officeDocument/2006/relationships/worksheet" Target="/xl/worksheets/sheet2.xml" Id="R723e83c7039446ba" /><Relationship Type="http://schemas.openxmlformats.org/officeDocument/2006/relationships/worksheet" Target="/xl/worksheets/sheet3.xml" Id="R89829f2e49984bea" /><Relationship Type="http://schemas.openxmlformats.org/officeDocument/2006/relationships/worksheet" Target="/xl/worksheets/sheet4.xml" Id="R45877d8840664620" /><Relationship Type="http://schemas.openxmlformats.org/officeDocument/2006/relationships/worksheet" Target="/xl/worksheets/sheet5.xml" Id="R3e23e52cbbd94d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9dd9cfd6da47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全局ROC曲线：测试段接近随机基准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全样本TPR</c:v>
          </c:tx>
          <c:marker>
            <c:symbol val="none"/>
          </c:marker>
          <c:cat>
            <c:strRef>
              <c:f>'ROC曲线数据'!$A$2:$A$22</c:f>
              <c:strCache>
                <c:ptCount val="0"/>
              </c:strCache>
            </c:strRef>
          </c:cat>
          <c:val>
            <c:numRef>
              <c:f>'ROC曲线数据'!$B$2:$B$22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验证段TPR</c:v>
          </c:tx>
          <c:marker>
            <c:symbol val="none"/>
          </c:marker>
          <c:cat>
            <c:strRef>
              <c:f>'ROC曲线数据'!$A$2:$A$22</c:f>
              <c:strCache>
                <c:ptCount val="0"/>
              </c:strCache>
            </c:strRef>
          </c:cat>
          <c:val>
            <c:numRef>
              <c:f>'ROC曲线数据'!$C$2:$C$22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测试段TPR</c:v>
          </c:tx>
          <c:marker>
            <c:symbol val="none"/>
          </c:marker>
          <c:cat>
            <c:strRef>
              <c:f>'ROC曲线数据'!$A$2:$A$22</c:f>
              <c:strCache>
                <c:ptCount val="0"/>
              </c:strCache>
            </c:strRef>
          </c:cat>
          <c:val>
            <c:numRef>
              <c:f>'ROC曲线数据'!$D$2:$D$22</c:f>
              <c:numCache>
                <c:formatCode>0.00%</c:formatCode>
                <c:ptCount val="0"/>
              </c:numCache>
            </c:numRef>
          </c:val>
        </c:ser>
        <c:ser>
          <c:idx val="3"/>
          <c:order val="3"/>
          <c:tx>
            <c:v>随机基准TPR</c:v>
          </c:tx>
          <c:marker>
            <c:symbol val="none"/>
          </c:marker>
          <c:cat>
            <c:strRef>
              <c:f>'ROC曲线数据'!$A$2:$A$22</c:f>
              <c:strCache>
                <c:ptCount val="0"/>
              </c:strCache>
            </c:strRef>
          </c:cat>
          <c:val>
            <c:numRef>
              <c:f>'ROC曲线数据'!$E$2:$E$22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假阳性率 FPR</a:t>
                </a:r>
              </a:p>
            </c:rich>
          </c:tx>
        </c:title>
        <c:numFmt formatCode="0%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真阳性率 TPR</a:t>
                </a:r>
              </a:p>
            </c:rich>
          </c:tx>
        </c:title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9dd9cfd6da47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721f204f4440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40" t="str">
        <x:v>全局分类阈值、ROC 与 AUC 分析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3">
      <x:c r="A3" s="5" t="str">
        <x:v>数据源</x:v>
      </x:c>
      <x:c r="B3" s="6" t="str">
        <x:v>C:\Users\Hello\Downloads\pred_eval.parquet</x:v>
      </x:c>
    </x:row>
    <x:row r="4">
      <x:c r="A4" s="5" t="str">
        <x:v>评分定义</x:v>
      </x:c>
      <x:c r="B4" s="6" t="str">
        <x:v>prob_up = pred + 0.5</x:v>
      </x:c>
    </x:row>
    <x:row r="5">
      <x:c r="A5" s="5" t="str">
        <x:v>真实标签</x:v>
      </x:c>
      <x:c r="B5" s="6" t="str">
        <x:v>y_true = 1(Tag &gt; 0)</x:v>
      </x:c>
    </x:row>
    <x:row r="6">
      <x:c r="A6" s="5" t="str">
        <x:v>时间切分</x:v>
      </x:c>
      <x:c r="B6" s="6" t="str">
        <x:v>前70%日期为验证段；2025-09-25起为测试段</x:v>
      </x:c>
    </x:row>
    <x:row r="8">
      <x:c r="A8" s="7" t="str">
        <x:v>整体区分能力</x:v>
      </x:c>
      <x:c r="B8" s="7"/>
      <x:c r="C8" s="7"/>
      <x:c r="D8" s="7"/>
    </x:row>
    <x:row r="9">
      <x:c r="A9" s="9" t="str">
        <x:v>数据段</x:v>
      </x:c>
      <x:c r="B9" s="9" t="str">
        <x:v>AUC</x:v>
      </x:c>
      <x:c r="C9" s="9" t="str">
        <x:v>样本量</x:v>
      </x:c>
      <x:c r="D9" s="9" t="str">
        <x:v>正样本率</x:v>
      </x:c>
    </x:row>
    <x:row r="10">
      <x:c r="A10" t="str">
        <x:v>全样本</x:v>
      </x:c>
      <x:c r="B10" s="10" t="n">
        <x:v>0.5240956606616505</x:v>
      </x:c>
      <x:c r="C10" s="11" t="n">
        <x:v>1728000</x:v>
      </x:c>
      <x:c r="D10" s="12" t="n">
        <x:v>0.49119097222222224</x:v>
      </x:c>
    </x:row>
    <x:row r="11">
      <x:c r="A11" t="str">
        <x:v>前70%验证段</x:v>
      </x:c>
      <x:c r="B11" s="10" t="n">
        <x:v>0.5296329445271939</x:v>
      </x:c>
      <x:c r="C11" s="11" t="n">
        <x:v>1209600</x:v>
      </x:c>
      <x:c r="D11" s="12" t="n">
        <x:v>0.4875636574074074</x:v>
      </x:c>
    </x:row>
    <x:row r="12">
      <x:c r="A12" t="str">
        <x:v>后30%测试段</x:v>
      </x:c>
      <x:c r="B12" s="10" t="n">
        <x:v>0.5109400021497267</x:v>
      </x:c>
      <x:c r="C12" s="11" t="n">
        <x:v>518400</x:v>
      </x:c>
      <x:c r="D12" s="12" t="n">
        <x:v>0.49965470679012347</x:v>
      </x:c>
    </x:row>
    <x:row r="14">
      <x:c r="A14" s="7" t="str">
        <x:v>口径说明与结论</x:v>
      </x:c>
      <x:c r="B14" s="7"/>
      <x:c r="C14" s="7"/>
      <x:c r="D14" s="7"/>
      <x:c r="E14" s="7"/>
      <x:c r="F14" s="7"/>
      <x:c r="G14" s="7"/>
      <x:c r="H14" s="7"/>
      <x:c r="I14" s="7"/>
      <x:c r="J14" s="7"/>
    </x:row>
    <x:row r="15" ht="24" customHeight="1">
      <x:c r="A15" s="15" t="str">
        <x:v>AUC评价整条ROC曲线，属于评分排序能力；同一数据段内不会因单个阈值改变。</x:v>
      </x:c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24" customHeight="1">
      <x:c r="A16" s="15" t="str">
        <x:v>阈值决定ROC曲线上的具体操作点：TPR（召回率）与FPR（误报率）。</x:v>
      </x:c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24" customHeight="1">
      <x:c r="A17" s="15" t="str">
        <x:v>全样本AUC=0.5241；验证段AUC=0.5296；测试段AUC=0.5109。</x:v>
      </x:c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24" customHeight="1">
      <x:c r="A18" s="15" t="str">
        <x:v>测试段AUC更接近0.5，说明后段区分能力较弱；阈值比较应优先查看“测试集阈值表”。</x:v>
      </x:c>
      <x:c r="B18" s="15"/>
      <x:c r="C18" s="15"/>
      <x:c r="D18" s="15"/>
      <x:c r="E18" s="15"/>
      <x:c r="F18" s="15"/>
      <x:c r="G18" s="15"/>
      <x:c r="H18" s="15"/>
      <x:c r="I18" s="15"/>
      <x:c r="J18" s="15"/>
    </x:row>
  </x:sheetData>
  <x:mergeCells>
    <x:mergeCell ref="A1:J1"/>
    <x:mergeCell ref="A8:D8"/>
    <x:mergeCell ref="A14:J14"/>
    <x:mergeCell ref="A15:J15"/>
    <x:mergeCell ref="A16:J16"/>
    <x:mergeCell ref="A17:J17"/>
    <x:mergeCell ref="A18:J18"/>
  </x:mergeCells>
  <x:pageMargins left="0.7" right="0.7" top="0.75" bottom="0.75" header="0.3" footer="0.3"/>
  <x:drawing xmlns:r="http://schemas.openxmlformats.org/officeDocument/2006/relationships" r:id="Reb721f204f44404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0" customHeight="1">
      <x:c r="A1" s="40" t="str">
        <x:v>全样本：全局阈值敏感性表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</x:row>
    <x:row r="2" ht="28" customHeight="1">
      <x:c r="A2" s="15" t="str">
        <x:v>阈值范围0.40–0.60，步长0.01；样本量1,728,000。AUC为整条ROC曲线面积，因此本表各阈值行的AUC相同。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4" ht="34" customHeight="1">
      <x:c r="A4" s="28" t="str">
        <x:v>概率阈值</x:v>
      </x:c>
      <x:c r="B4" s="29" t="str">
        <x:v>原始pred分界点</x:v>
      </x:c>
      <x:c r="C4" s="29" t="str">
        <x:v>AUC</x:v>
      </x:c>
      <x:c r="D4" s="29" t="str">
        <x:v>TP</x:v>
      </x:c>
      <x:c r="E4" s="29" t="str">
        <x:v>FP</x:v>
      </x:c>
      <x:c r="F4" s="29" t="str">
        <x:v>TN</x:v>
      </x:c>
      <x:c r="G4" s="29" t="str">
        <x:v>FN</x:v>
      </x:c>
      <x:c r="H4" s="29" t="str">
        <x:v>TPR/召回率</x:v>
      </x:c>
      <x:c r="I4" s="29" t="str">
        <x:v>FPR</x:v>
      </x:c>
      <x:c r="J4" s="29" t="str">
        <x:v>特异度</x:v>
      </x:c>
      <x:c r="K4" s="29" t="str">
        <x:v>Accuracy</x:v>
      </x:c>
      <x:c r="L4" s="29" t="str">
        <x:v>Balanced Accuracy</x:v>
      </x:c>
      <x:c r="M4" s="29" t="str">
        <x:v>Precision</x:v>
      </x:c>
      <x:c r="N4" s="29" t="str">
        <x:v>F1</x:v>
      </x:c>
      <x:c r="O4" s="29" t="str">
        <x:v>预测正类比例</x:v>
      </x:c>
      <x:c r="P4" s="30" t="str">
        <x:v>Youden J</x:v>
      </x:c>
    </x:row>
    <x:row r="5">
      <x:c r="A5" s="32" t="n">
        <x:v>0.4</x:v>
      </x:c>
      <x:c r="B5" s="32" t="n">
        <x:f>A5-0.5</x:f>
        <x:v>-0.09999999999999998</x:v>
      </x:c>
      <x:c r="C5" s="33" t="n">
        <x:f>'汇总'!$B$10</x:f>
        <x:v>0.5240956606616505</x:v>
      </x:c>
      <x:c r="D5" s="34" t="n">
        <x:v>830482</x:v>
      </x:c>
      <x:c r="E5" s="34" t="n">
        <x:v>855681</x:v>
      </x:c>
      <x:c r="F5" s="34" t="n">
        <x:v>23541</x:v>
      </x:c>
      <x:c r="G5" s="34" t="n">
        <x:v>18296</x:v>
      </x:c>
      <x:c r="H5" s="35" t="n">
        <x:f>D5/(D5+G5)</x:f>
        <x:v>0.9784443046356055</x:v>
      </x:c>
      <x:c r="I5" s="35" t="n">
        <x:f>E5/(E5+F5)</x:f>
        <x:v>0.9732251922722589</x:v>
      </x:c>
      <x:c r="J5" s="35" t="n">
        <x:f>F5/(E5+F5)</x:f>
        <x:v>0.026774807727741115</x:v>
      </x:c>
      <x:c r="K5" s="35" t="n">
        <x:f>(D5+F5)/SUM(D5:G5)</x:f>
        <x:v>0.49422627314814815</x:v>
      </x:c>
      <x:c r="L5" s="35" t="n">
        <x:f>(H5+J5)/2</x:f>
        <x:v>0.5026095561816734</x:v>
      </x:c>
      <x:c r="M5" s="35" t="n">
        <x:f>D5/(D5+E5)</x:f>
        <x:v>0.49252770936143186</x:v>
      </x:c>
      <x:c r="N5" s="35" t="n">
        <x:f>2*M5*H5/(M5+H5)</x:f>
        <x:v>0.6552278731536553</x:v>
      </x:c>
      <x:c r="O5" s="35" t="n">
        <x:f>(D5+E5)/SUM(D5:G5)</x:f>
        <x:v>0.9757887731481482</x:v>
      </x:c>
      <x:c r="P5" s="35" t="n">
        <x:f>H5-I5</x:f>
        <x:v>0.005219112363346601</x:v>
      </x:c>
    </x:row>
    <x:row r="6">
      <x:c r="A6" s="36" t="n">
        <x:v>0.41</x:v>
      </x:c>
      <x:c r="B6" s="36" t="n">
        <x:f>A6-0.5</x:f>
        <x:v>-0.09000000000000002</x:v>
      </x:c>
      <x:c r="C6" s="37" t="n">
        <x:f>'汇总'!$B$10</x:f>
        <x:v>0.5240956606616505</x:v>
      </x:c>
      <x:c r="D6" s="38" t="n">
        <x:v>817554</x:v>
      </x:c>
      <x:c r="E6" s="38" t="n">
        <x:v>840279</x:v>
      </x:c>
      <x:c r="F6" s="38" t="n">
        <x:v>38943</x:v>
      </x:c>
      <x:c r="G6" s="38" t="n">
        <x:v>31224</x:v>
      </x:c>
      <x:c r="H6" s="39" t="n">
        <x:f>D6/(D6+G6)</x:f>
        <x:v>0.9632129956242975</x:v>
      </x:c>
      <x:c r="I6" s="39" t="n">
        <x:f>E6/(E6+F6)</x:f>
        <x:v>0.9557074322526051</x:v>
      </x:c>
      <x:c r="J6" s="39" t="n">
        <x:f>F6/(E6+F6)</x:f>
        <x:v>0.04429256774739486</x:v>
      </x:c>
      <x:c r="K6" s="39" t="n">
        <x:f>(D6+F6)/SUM(D6:G6)</x:f>
        <x:v>0.4956579861111111</x:v>
      </x:c>
      <x:c r="L6" s="39" t="n">
        <x:f>(H6+J6)/2</x:f>
        <x:v>0.5037527816858461</x:v>
      </x:c>
      <x:c r="M6" s="39" t="n">
        <x:f>D6/(D6+E6)</x:f>
        <x:v>0.49314617334797894</x:v>
      </x:c>
      <x:c r="N6" s="39" t="n">
        <x:f>2*M6*H6/(M6+H6)</x:f>
        <x:v>0.6523182097262</x:v>
      </x:c>
      <x:c r="O6" s="39" t="n">
        <x:f>(D6+E6)/SUM(D6:G6)</x:f>
        <x:v>0.9593940972222222</x:v>
      </x:c>
      <x:c r="P6" s="39" t="n">
        <x:f>H6-I6</x:f>
        <x:v>0.007505563371692392</x:v>
      </x:c>
    </x:row>
    <x:row r="7">
      <x:c r="A7" s="36" t="n">
        <x:v>0.42</x:v>
      </x:c>
      <x:c r="B7" s="36" t="n">
        <x:f>A7-0.5</x:f>
        <x:v>-0.08000000000000002</x:v>
      </x:c>
      <x:c r="C7" s="37" t="n">
        <x:f>'汇总'!$B$10</x:f>
        <x:v>0.5240956606616505</x:v>
      </x:c>
      <x:c r="D7" s="38" t="n">
        <x:v>797997</x:v>
      </x:c>
      <x:c r="E7" s="38" t="n">
        <x:v>817207</x:v>
      </x:c>
      <x:c r="F7" s="38" t="n">
        <x:v>62015</x:v>
      </x:c>
      <x:c r="G7" s="38" t="n">
        <x:v>50781</x:v>
      </x:c>
      <x:c r="H7" s="39" t="n">
        <x:f>D7/(D7+G7)</x:f>
        <x:v>0.9401716349858267</x:v>
      </x:c>
      <x:c r="I7" s="39" t="n">
        <x:f>E7/(E7+F7)</x:f>
        <x:v>0.929466050667522</x:v>
      </x:c>
      <x:c r="J7" s="39" t="n">
        <x:f>F7/(E7+F7)</x:f>
        <x:v>0.07053394933247803</x:v>
      </x:c>
      <x:c r="K7" s="39" t="n">
        <x:f>(D7+F7)/SUM(D7:G7)</x:f>
        <x:v>0.4976921296296296</x:v>
      </x:c>
      <x:c r="L7" s="39" t="n">
        <x:f>(H7+J7)/2</x:f>
        <x:v>0.5053527921591523</x:v>
      </x:c>
      <x:c r="M7" s="39" t="n">
        <x:f>D7/(D7+E7)</x:f>
        <x:v>0.49405338273060245</x:v>
      </x:c>
      <x:c r="N7" s="39" t="n">
        <x:f>2*M7*H7/(M7+H7)</x:f>
        <x:v>0.6477295694530236</x:v>
      </x:c>
      <x:c r="O7" s="39" t="n">
        <x:f>(D7+E7)/SUM(D7:G7)</x:f>
        <x:v>0.9347245370370371</x:v>
      </x:c>
      <x:c r="P7" s="39" t="n">
        <x:f>H7-I7</x:f>
        <x:v>0.010705584318304706</x:v>
      </x:c>
    </x:row>
    <x:row r="8">
      <x:c r="A8" s="36" t="n">
        <x:v>0.43</x:v>
      </x:c>
      <x:c r="B8" s="36" t="n">
        <x:f>A8-0.5</x:f>
        <x:v>-0.07</x:v>
      </x:c>
      <x:c r="C8" s="37" t="n">
        <x:f>'汇总'!$B$10</x:f>
        <x:v>0.5240956606616505</x:v>
      </x:c>
      <x:c r="D8" s="38" t="n">
        <x:v>769984</x:v>
      </x:c>
      <x:c r="E8" s="38" t="n">
        <x:v>784618</x:v>
      </x:c>
      <x:c r="F8" s="38" t="n">
        <x:v>94604</x:v>
      </x:c>
      <x:c r="G8" s="38" t="n">
        <x:v>78794</x:v>
      </x:c>
      <x:c r="H8" s="39" t="n">
        <x:f>D8/(D8+G8)</x:f>
        <x:v>0.9071677164111228</x:v>
      </x:c>
      <x:c r="I8" s="39" t="n">
        <x:f>E8/(E8+F8)</x:f>
        <x:v>0.8924003266524269</x:v>
      </x:c>
      <x:c r="J8" s="39" t="n">
        <x:f>F8/(E8+F8)</x:f>
        <x:v>0.1075996733475732</x:v>
      </x:c>
      <x:c r="K8" s="39" t="n">
        <x:f>(D8+F8)/SUM(D8:G8)</x:f>
        <x:v>0.5003402777777778</x:v>
      </x:c>
      <x:c r="L8" s="39" t="n">
        <x:f>(H8+J8)/2</x:f>
        <x:v>0.507383694879348</x:v>
      </x:c>
      <x:c r="M8" s="39" t="n">
        <x:f>D8/(D8+E8)</x:f>
        <x:v>0.4952933290964504</x:v>
      </x:c>
      <x:c r="N8" s="39" t="n">
        <x:f>2*M8*H8/(M8+H8)</x:f>
        <x:v>0.6407509424227547</x:v>
      </x:c>
      <x:c r="O8" s="39" t="n">
        <x:f>(D8+E8)/SUM(D8:G8)</x:f>
        <x:v>0.8996539351851852</x:v>
      </x:c>
      <x:c r="P8" s="39" t="n">
        <x:f>H8-I8</x:f>
        <x:v>0.014767389758695959</x:v>
      </x:c>
    </x:row>
    <x:row r="9">
      <x:c r="A9" s="36" t="n">
        <x:v>0.44</x:v>
      </x:c>
      <x:c r="B9" s="36" t="n">
        <x:f>A9-0.5</x:f>
        <x:v>-0.06</x:v>
      </x:c>
      <x:c r="C9" s="37" t="n">
        <x:f>'汇总'!$B$10</x:f>
        <x:v>0.5240956606616505</x:v>
      </x:c>
      <x:c r="D9" s="38" t="n">
        <x:v>731941</x:v>
      </x:c>
      <x:c r="E9" s="38" t="n">
        <x:v>741640</x:v>
      </x:c>
      <x:c r="F9" s="38" t="n">
        <x:v>137582</x:v>
      </x:c>
      <x:c r="G9" s="38" t="n">
        <x:v>116837</x:v>
      </x:c>
      <x:c r="H9" s="39" t="n">
        <x:f>D9/(D9+G9)</x:f>
        <x:v>0.8623468091774292</x:v>
      </x:c>
      <x:c r="I9" s="39" t="n">
        <x:f>E9/(E9+F9)</x:f>
        <x:v>0.843518474287495</x:v>
      </x:c>
      <x:c r="J9" s="39" t="n">
        <x:f>F9/(E9+F9)</x:f>
        <x:v>0.15648152571250493</x:v>
      </x:c>
      <x:c r="K9" s="39" t="n">
        <x:f>(D9+F9)/SUM(D9:G9)</x:f>
        <x:v>0.5031961805555556</x:v>
      </x:c>
      <x:c r="L9" s="39" t="n">
        <x:f>(H9+J9)/2</x:f>
        <x:v>0.509414167444967</x:v>
      </x:c>
      <x:c r="M9" s="39" t="n">
        <x:f>D9/(D9+E9)</x:f>
        <x:v>0.49670903737222455</x:v>
      </x:c>
      <x:c r="N9" s="39" t="n">
        <x:f>2*M9*H9/(M9+H9)</x:f>
        <x:v>0.6303426817300857</x:v>
      </x:c>
      <x:c r="O9" s="39" t="n">
        <x:f>(D9+E9)/SUM(D9:G9)</x:f>
        <x:v>0.8527667824074074</x:v>
      </x:c>
      <x:c r="P9" s="39" t="n">
        <x:f>H9-I9</x:f>
        <x:v>0.018828334889934184</x:v>
      </x:c>
    </x:row>
    <x:row r="10">
      <x:c r="A10" s="36" t="n">
        <x:v>0.45</x:v>
      </x:c>
      <x:c r="B10" s="36" t="n">
        <x:f>A10-0.5</x:f>
        <x:v>-0.04999999999999999</x:v>
      </x:c>
      <x:c r="C10" s="37" t="n">
        <x:f>'汇总'!$B$10</x:f>
        <x:v>0.5240956606616505</x:v>
      </x:c>
      <x:c r="D10" s="38" t="n">
        <x:v>683840</x:v>
      </x:c>
      <x:c r="E10" s="38" t="n">
        <x:v>688126</x:v>
      </x:c>
      <x:c r="F10" s="38" t="n">
        <x:v>191096</x:v>
      </x:c>
      <x:c r="G10" s="38" t="n">
        <x:v>164938</x:v>
      </x:c>
      <x:c r="H10" s="39" t="n">
        <x:f>D10/(D10+G10)</x:f>
        <x:v>0.805675924682308</x:v>
      </x:c>
      <x:c r="I10" s="39" t="n">
        <x:f>E10/(E10+F10)</x:f>
        <x:v>0.7826533003041325</x:v>
      </x:c>
      <x:c r="J10" s="39" t="n">
        <x:f>F10/(E10+F10)</x:f>
        <x:v>0.21734669969586748</x:v>
      </x:c>
      <x:c r="K10" s="39" t="n">
        <x:f>(D10+F10)/SUM(D10:G10)</x:f>
        <x:v>0.5063287037037038</x:v>
      </x:c>
      <x:c r="L10" s="39" t="n">
        <x:f>(H10+J10)/2</x:f>
        <x:v>0.5115113121890877</x:v>
      </x:c>
      <x:c r="M10" s="39" t="n">
        <x:f>D10/(D10+E10)</x:f>
        <x:v>0.49843800793897225</x:v>
      </x:c>
      <x:c r="N10" s="39" t="n">
        <x:f>2*M10*H10/(M10+H10)</x:f>
        <x:v>0.6158656738462425</x:v>
      </x:c>
      <x:c r="O10" s="39" t="n">
        <x:f>(D10+E10)/SUM(D10:G10)</x:f>
        <x:v>0.7939618055555555</x:v>
      </x:c>
      <x:c r="P10" s="39" t="n">
        <x:f>H10-I10</x:f>
        <x:v>0.023022624378175482</x:v>
      </x:c>
    </x:row>
    <x:row r="11">
      <x:c r="A11" s="36" t="n">
        <x:v>0.46</x:v>
      </x:c>
      <x:c r="B11" s="36" t="n">
        <x:f>A11-0.5</x:f>
        <x:v>-0.03999999999999998</x:v>
      </x:c>
      <x:c r="C11" s="37" t="n">
        <x:f>'汇总'!$B$10</x:f>
        <x:v>0.5240956606616505</x:v>
      </x:c>
      <x:c r="D11" s="38" t="n">
        <x:v>625423</x:v>
      </x:c>
      <x:c r="E11" s="38" t="n">
        <x:v>625215</x:v>
      </x:c>
      <x:c r="F11" s="38" t="n">
        <x:v>254007</x:v>
      </x:c>
      <x:c r="G11" s="38" t="n">
        <x:v>223355</x:v>
      </x:c>
      <x:c r="H11" s="39" t="n">
        <x:f>D11/(D11+G11)</x:f>
        <x:v>0.7368510965175817</x:v>
      </x:c>
      <x:c r="I11" s="39" t="n">
        <x:f>E11/(E11+F11)</x:f>
        <x:v>0.7111002681916513</x:v>
      </x:c>
      <x:c r="J11" s="39" t="n">
        <x:f>F11/(E11+F11)</x:f>
        <x:v>0.28889973180834877</x:v>
      </x:c>
      <x:c r="K11" s="39" t="n">
        <x:f>(D11+F11)/SUM(D11:G11)</x:f>
        <x:v>0.5089293981481482</x:v>
      </x:c>
      <x:c r="L11" s="39" t="n">
        <x:f>(H11+J11)/2</x:f>
        <x:v>0.5128754141629652</x:v>
      </x:c>
      <x:c r="M11" s="39" t="n">
        <x:f>D11/(D11+E11)</x:f>
        <x:v>0.5000831575563832</x:v>
      </x:c>
      <x:c r="N11" s="39" t="n">
        <x:f>2*M11*H11/(M11+H11)</x:f>
        <x:v>0.5958066433712995</x:v>
      </x:c>
      <x:c r="O11" s="39" t="n">
        <x:f>(D11+E11)/SUM(D11:G11)</x:f>
        <x:v>0.7237488425925926</x:v>
      </x:c>
      <x:c r="P11" s="39" t="n">
        <x:f>H11-I11</x:f>
        <x:v>0.025750828325930453</x:v>
      </x:c>
    </x:row>
    <x:row r="12">
      <x:c r="A12" s="36" t="n">
        <x:v>0.47</x:v>
      </x:c>
      <x:c r="B12" s="36" t="n">
        <x:f>A12-0.5</x:f>
        <x:v>-0.030000000000000027</x:v>
      </x:c>
      <x:c r="C12" s="37" t="n">
        <x:f>'汇总'!$B$10</x:f>
        <x:v>0.5240956606616505</x:v>
      </x:c>
      <x:c r="D12" s="38" t="n">
        <x:v>560094</x:v>
      </x:c>
      <x:c r="E12" s="38" t="n">
        <x:v>555613</x:v>
      </x:c>
      <x:c r="F12" s="38" t="n">
        <x:v>323609</x:v>
      </x:c>
      <x:c r="G12" s="38" t="n">
        <x:v>288684</x:v>
      </x:c>
      <x:c r="H12" s="39" t="n">
        <x:f>D12/(D12+G12)</x:f>
        <x:v>0.6598827962081958</x:v>
      </x:c>
      <x:c r="I12" s="39" t="n">
        <x:f>E12/(E12+F12)</x:f>
        <x:v>0.631937098935195</x:v>
      </x:c>
      <x:c r="J12" s="39" t="n">
        <x:f>F12/(E12+F12)</x:f>
        <x:v>0.36806290106480505</x:v>
      </x:c>
      <x:c r="K12" s="39" t="n">
        <x:f>(D12+F12)/SUM(D12:G12)</x:f>
        <x:v>0.511402199074074</x:v>
      </x:c>
      <x:c r="L12" s="39" t="n">
        <x:f>(H12+J12)/2</x:f>
        <x:v>0.5139728486365004</x:v>
      </x:c>
      <x:c r="M12" s="39" t="n">
        <x:f>D12/(D12+E12)</x:f>
        <x:v>0.502008143715151</x:v>
      </x:c>
      <x:c r="N12" s="39" t="n">
        <x:f>2*M12*H12/(M12+H12)</x:f>
        <x:v>0.5702196758947001</x:v>
      </x:c>
      <x:c r="O12" s="39" t="n">
        <x:f>(D12+E12)/SUM(D12:G12)</x:f>
        <x:v>0.6456637731481482</x:v>
      </x:c>
      <x:c r="P12" s="39" t="n">
        <x:f>H12-I12</x:f>
        <x:v>0.02794569727300078</x:v>
      </x:c>
    </x:row>
    <x:row r="13">
      <x:c r="A13" s="36" t="n">
        <x:v>0.48</x:v>
      </x:c>
      <x:c r="B13" s="36" t="n">
        <x:f>A13-0.5</x:f>
        <x:v>-0.020000000000000018</x:v>
      </x:c>
      <x:c r="C13" s="37" t="n">
        <x:f>'汇总'!$B$10</x:f>
        <x:v>0.5240956606616505</x:v>
      </x:c>
      <x:c r="D13" s="38" t="n">
        <x:v>491006</x:v>
      </x:c>
      <x:c r="E13" s="38" t="n">
        <x:v>482215</x:v>
      </x:c>
      <x:c r="F13" s="38" t="n">
        <x:v>397007</x:v>
      </x:c>
      <x:c r="G13" s="38" t="n">
        <x:v>357772</x:v>
      </x:c>
      <x:c r="H13" s="39" t="n">
        <x:f>D13/(D13+G13)</x:f>
        <x:v>0.5784857760215274</x:v>
      </x:c>
      <x:c r="I13" s="39" t="n">
        <x:f>E13/(E13+F13)</x:f>
        <x:v>0.5484564762938143</x:v>
      </x:c>
      <x:c r="J13" s="39" t="n">
        <x:f>F13/(E13+F13)</x:f>
        <x:v>0.4515435237061857</x:v>
      </x:c>
      <x:c r="K13" s="39" t="n">
        <x:f>(D13+F13)/SUM(D13:G13)</x:f>
        <x:v>0.5138964120370371</x:v>
      </x:c>
      <x:c r="L13" s="39" t="n">
        <x:f>(H13+J13)/2</x:f>
        <x:v>0.5150146498638566</x:v>
      </x:c>
      <x:c r="M13" s="39" t="n">
        <x:f>D13/(D13+E13)</x:f>
        <x:v>0.504516445904887</x:v>
      </x:c>
      <x:c r="N13" s="39" t="n">
        <x:f>2*M13*H13/(M13+H13)</x:f>
        <x:v>0.538975048833726</x:v>
      </x:c>
      <x:c r="O13" s="39" t="n">
        <x:f>(D13+E13)/SUM(D13:G13)</x:f>
        <x:v>0.5632065972222222</x:v>
      </x:c>
      <x:c r="P13" s="39" t="n">
        <x:f>H13-I13</x:f>
        <x:v>0.030029299727713066</x:v>
      </x:c>
    </x:row>
    <x:row r="14">
      <x:c r="A14" s="36" t="n">
        <x:v>0.49</x:v>
      </x:c>
      <x:c r="B14" s="36" t="n">
        <x:f>A14-0.5</x:f>
        <x:v>-0.010000000000000009</x:v>
      </x:c>
      <x:c r="C14" s="37" t="n">
        <x:f>'汇总'!$B$10</x:f>
        <x:v>0.5240956606616505</x:v>
      </x:c>
      <x:c r="D14" s="38" t="n">
        <x:v>422637</x:v>
      </x:c>
      <x:c r="E14" s="38" t="n">
        <x:v>410180</x:v>
      </x:c>
      <x:c r="F14" s="38" t="n">
        <x:v>469042</x:v>
      </x:c>
      <x:c r="G14" s="38" t="n">
        <x:v>426141</x:v>
      </x:c>
      <x:c r="H14" s="39" t="n">
        <x:f>D14/(D14+G14)</x:f>
        <x:v>0.49793585601888835</x:v>
      </x:c>
      <x:c r="I14" s="39" t="n">
        <x:f>E14/(E14+F14)</x:f>
        <x:v>0.4665260878367466</x:v>
      </x:c>
      <x:c r="J14" s="39" t="n">
        <x:f>F14/(E14+F14)</x:f>
        <x:v>0.5334739121632535</x:v>
      </x:c>
      <x:c r="K14" s="39" t="n">
        <x:f>(D14+F14)/SUM(D14:G14)</x:f>
        <x:v>0.5160179398148148</x:v>
      </x:c>
      <x:c r="L14" s="39" t="n">
        <x:f>(H14+J14)/2</x:f>
        <x:v>0.515704884091071</x:v>
      </x:c>
      <x:c r="M14" s="39" t="n">
        <x:f>D14/(D14+E14)</x:f>
        <x:v>0.5074788338854754</x:v>
      </x:c>
      <x:c r="N14" s="39" t="n">
        <x:f>2*M14*H14/(M14+H14)</x:f>
        <x:v>0.502662055964724</x:v>
      </x:c>
      <x:c r="O14" s="39" t="n">
        <x:f>(D14+E14)/SUM(D14:G14)</x:f>
        <x:v>0.4819542824074074</x:v>
      </x:c>
      <x:c r="P14" s="39" t="n">
        <x:f>H14-I14</x:f>
        <x:v>0.03140976818214175</x:v>
      </x:c>
    </x:row>
    <x:row r="15">
      <x:c r="A15" s="36" t="n">
        <x:v>0.5</x:v>
      </x:c>
      <x:c r="B15" s="36" t="n">
        <x:f>A15-0.5</x:f>
        <x:v>0</x:v>
      </x:c>
      <x:c r="C15" s="37" t="n">
        <x:f>'汇总'!$B$10</x:f>
        <x:v>0.5240956606616505</x:v>
      </x:c>
      <x:c r="D15" s="38" t="n">
        <x:v>357296</x:v>
      </x:c>
      <x:c r="E15" s="38" t="n">
        <x:v>342204</x:v>
      </x:c>
      <x:c r="F15" s="38" t="n">
        <x:v>537018</x:v>
      </x:c>
      <x:c r="G15" s="38" t="n">
        <x:v>491482</x:v>
      </x:c>
      <x:c r="H15" s="39" t="n">
        <x:f>D15/(D15+G15)</x:f>
        <x:v>0.420953417737029</x:v>
      </x:c>
      <x:c r="I15" s="39" t="n">
        <x:f>E15/(E15+F15)</x:f>
        <x:v>0.3892122808573944</x:v>
      </x:c>
      <x:c r="J15" s="39" t="n">
        <x:f>F15/(E15+F15)</x:f>
        <x:v>0.6107877191426057</x:v>
      </x:c>
      <x:c r="K15" s="39" t="n">
        <x:f>(D15+F15)/SUM(D15:G15)</x:f>
        <x:v>0.517542824074074</x:v>
      </x:c>
      <x:c r="L15" s="39" t="n">
        <x:f>(H15+J15)/2</x:f>
        <x:v>0.5158705684398173</x:v>
      </x:c>
      <x:c r="M15" s="39" t="n">
        <x:f>D15/(D15+E15)</x:f>
        <x:v>0.5107877055039314</x:v>
      </x:c>
      <x:c r="N15" s="39" t="n">
        <x:f>2*M15*H15/(M15+H15)</x:f>
        <x:v>0.46153985266211883</x:v>
      </x:c>
      <x:c r="O15" s="39" t="n">
        <x:f>(D15+E15)/SUM(D15:G15)</x:f>
        <x:v>0.40480324074074076</x:v>
      </x:c>
      <x:c r="P15" s="39" t="n">
        <x:f>H15-I15</x:f>
        <x:v>0.03174113687963459</x:v>
      </x:c>
    </x:row>
    <x:row r="16">
      <x:c r="A16" s="36" t="n">
        <x:v>0.51</x:v>
      </x:c>
      <x:c r="B16" s="36" t="n">
        <x:f>A16-0.5</x:f>
        <x:v>0.010000000000000009</x:v>
      </x:c>
      <x:c r="C16" s="37" t="n">
        <x:f>'汇总'!$B$10</x:f>
        <x:v>0.5240956606616505</x:v>
      </x:c>
      <x:c r="D16" s="38" t="n">
        <x:v>297073</x:v>
      </x:c>
      <x:c r="E16" s="38" t="n">
        <x:v>280101</x:v>
      </x:c>
      <x:c r="F16" s="38" t="n">
        <x:v>599121</x:v>
      </x:c>
      <x:c r="G16" s="38" t="n">
        <x:v>551705</x:v>
      </x:c>
      <x:c r="H16" s="39" t="n">
        <x:f>D16/(D16+G16)</x:f>
        <x:v>0.35000082471506094</x:v>
      </x:c>
      <x:c r="I16" s="39" t="n">
        <x:f>E16/(E16+F16)</x:f>
        <x:v>0.3185782430375946</x:v>
      </x:c>
      <x:c r="J16" s="39" t="n">
        <x:f>F16/(E16+F16)</x:f>
        <x:v>0.6814217569624054</x:v>
      </x:c>
      <x:c r="K16" s="39" t="n">
        <x:f>(D16+F16)/SUM(D16:G16)</x:f>
        <x:v>0.518630787037037</x:v>
      </x:c>
      <x:c r="L16" s="39" t="n">
        <x:f>(H16+J16)/2</x:f>
        <x:v>0.5157112908387331</x:v>
      </x:c>
      <x:c r="M16" s="39" t="n">
        <x:f>D16/(D16+E16)</x:f>
        <x:v>0.5147026719845316</x:v>
      </x:c>
      <x:c r="N16" s="39" t="n">
        <x:f>2*M16*H16/(M16+H16)</x:f>
        <x:v>0.4166661991427481</x:v>
      </x:c>
      <x:c r="O16" s="39" t="n">
        <x:f>(D16+E16)/SUM(D16:G16)</x:f>
        <x:v>0.3340127314814815</x:v>
      </x:c>
      <x:c r="P16" s="39" t="n">
        <x:f>H16-I16</x:f>
        <x:v>0.031422581677466366</x:v>
      </x:c>
    </x:row>
    <x:row r="17">
      <x:c r="A17" s="36" t="n">
        <x:v>0.52</x:v>
      </x:c>
      <x:c r="B17" s="36" t="n">
        <x:f>A17-0.5</x:f>
        <x:v>0.020000000000000018</x:v>
      </x:c>
      <x:c r="C17" s="37" t="n">
        <x:f>'汇总'!$B$10</x:f>
        <x:v>0.5240956606616505</x:v>
      </x:c>
      <x:c r="D17" s="38" t="n">
        <x:v>243782</x:v>
      </x:c>
      <x:c r="E17" s="38" t="n">
        <x:v>225965</x:v>
      </x:c>
      <x:c r="F17" s="38" t="n">
        <x:v>653257</x:v>
      </x:c>
      <x:c r="G17" s="38" t="n">
        <x:v>604996</x:v>
      </x:c>
      <x:c r="H17" s="39" t="n">
        <x:f>D17/(D17+G17)</x:f>
        <x:v>0.28721526712520823</x:v>
      </x:c>
      <x:c r="I17" s="39" t="n">
        <x:f>E17/(E17+F17)</x:f>
        <x:v>0.25700562542793515</x:v>
      </x:c>
      <x:c r="J17" s="39" t="n">
        <x:f>F17/(E17+F17)</x:f>
        <x:v>0.7429943745720649</x:v>
      </x:c>
      <x:c r="K17" s="39" t="n">
        <x:f>(D17+F17)/SUM(D17:G17)</x:f>
        <x:v>0.5191197916666667</x:v>
      </x:c>
      <x:c r="L17" s="39" t="n">
        <x:f>(H17+J17)/2</x:f>
        <x:v>0.5151048208486365</x:v>
      </x:c>
      <x:c r="M17" s="39" t="n">
        <x:f>D17/(D17+E17)</x:f>
        <x:v>0.5189644638496893</x:v>
      </x:c>
      <x:c r="N17" s="39" t="n">
        <x:f>2*M17*H17/(M17+H17)</x:f>
        <x:v>0.369779867655145</x:v>
      </x:c>
      <x:c r="O17" s="39" t="n">
        <x:f>(D17+E17)/SUM(D17:G17)</x:f>
        <x:v>0.27184432870370373</x:v>
      </x:c>
      <x:c r="P17" s="39" t="n">
        <x:f>H17-I17</x:f>
        <x:v>0.030209641697273082</x:v>
      </x:c>
    </x:row>
    <x:row r="18">
      <x:c r="A18" s="36" t="n">
        <x:v>0.53</x:v>
      </x:c>
      <x:c r="B18" s="36" t="n">
        <x:f>A18-0.5</x:f>
        <x:v>0.030000000000000027</x:v>
      </x:c>
      <x:c r="C18" s="37" t="n">
        <x:f>'汇总'!$B$10</x:f>
        <x:v>0.5240956606616505</x:v>
      </x:c>
      <x:c r="D18" s="38" t="n">
        <x:v>198031</x:v>
      </x:c>
      <x:c r="E18" s="38" t="n">
        <x:v>180356</x:v>
      </x:c>
      <x:c r="F18" s="38" t="n">
        <x:v>698866</x:v>
      </x:c>
      <x:c r="G18" s="38" t="n">
        <x:v>650747</x:v>
      </x:c>
      <x:c r="H18" s="39" t="n">
        <x:f>D18/(D18+G18)</x:f>
        <x:v>0.2333130689061215</x:v>
      </x:c>
      <x:c r="I18" s="39" t="n">
        <x:f>E18/(E18+F18)</x:f>
        <x:v>0.20513135476591804</x:v>
      </x:c>
      <x:c r="J18" s="39" t="n">
        <x:f>F18/(E18+F18)</x:f>
        <x:v>0.794868645234082</x:v>
      </x:c>
      <x:c r="K18" s="39" t="n">
        <x:f>(D18+F18)/SUM(D18:G18)</x:f>
        <x:v>0.5190376157407407</x:v>
      </x:c>
      <x:c r="L18" s="39" t="n">
        <x:f>(H18+J18)/2</x:f>
        <x:v>0.5140908570701017</x:v>
      </x:c>
      <x:c r="M18" s="39" t="n">
        <x:f>D18/(D18+E18)</x:f>
        <x:v>0.5233557178232867</x:v>
      </x:c>
      <x:c r="N18" s="39" t="n">
        <x:f>2*M18*H18/(M18+H18)</x:f>
        <x:v>0.3227455150692857</x:v>
      </x:c>
      <x:c r="O18" s="39" t="n">
        <x:f>(D18+E18)/SUM(D18:G18)</x:f>
        <x:v>0.21897395833333333</x:v>
      </x:c>
      <x:c r="P18" s="39" t="n">
        <x:f>H18-I18</x:f>
        <x:v>0.028181714140203457</x:v>
      </x:c>
    </x:row>
    <x:row r="19">
      <x:c r="A19" s="36" t="n">
        <x:v>0.54</x:v>
      </x:c>
      <x:c r="B19" s="36" t="n">
        <x:f>A19-0.5</x:f>
        <x:v>0.040000000000000036</x:v>
      </x:c>
      <x:c r="C19" s="37" t="n">
        <x:f>'汇总'!$B$10</x:f>
        <x:v>0.5240956606616505</x:v>
      </x:c>
      <x:c r="D19" s="38" t="n">
        <x:v>159824</x:v>
      </x:c>
      <x:c r="E19" s="38" t="n">
        <x:v>142789</x:v>
      </x:c>
      <x:c r="F19" s="38" t="n">
        <x:v>736433</x:v>
      </x:c>
      <x:c r="G19" s="38" t="n">
        <x:v>688954</x:v>
      </x:c>
      <x:c r="H19" s="39" t="n">
        <x:f>D19/(D19+G19)</x:f>
        <x:v>0.18829894271529188</x:v>
      </x:c>
      <x:c r="I19" s="39" t="n">
        <x:f>E19/(E19+F19)</x:f>
        <x:v>0.16240380700209958</x:v>
      </x:c>
      <x:c r="J19" s="39" t="n">
        <x:f>F19/(E19+F19)</x:f>
        <x:v>0.8375961929979004</x:v>
      </x:c>
      <x:c r="K19" s="39" t="n">
        <x:f>(D19+F19)/SUM(D19:G19)</x:f>
        <x:v>0.5186672453703703</x:v>
      </x:c>
      <x:c r="L19" s="39" t="n">
        <x:f>(H19+J19)/2</x:f>
        <x:v>0.5129475678565961</x:v>
      </x:c>
      <x:c r="M19" s="39" t="n">
        <x:f>D19/(D19+E19)</x:f>
        <x:v>0.5281465105596918</x:v>
      </x:c>
      <x:c r="N19" s="39" t="n">
        <x:f>2*M19*H19/(M19+H19)</x:f>
        <x:v>0.27761898434154864</x:v>
      </x:c>
      <x:c r="O19" s="39" t="n">
        <x:f>(D19+E19)/SUM(D19:G19)</x:f>
        <x:v>0.17512326388888888</x:v>
      </x:c>
      <x:c r="P19" s="39" t="n">
        <x:f>H19-I19</x:f>
        <x:v>0.025895135713192297</x:v>
      </x:c>
    </x:row>
    <x:row r="20">
      <x:c r="A20" s="36" t="n">
        <x:v>0.55</x:v>
      </x:c>
      <x:c r="B20" s="36" t="n">
        <x:f>A20-0.5</x:f>
        <x:v>0.050000000000000044</x:v>
      </x:c>
      <x:c r="C20" s="37" t="n">
        <x:f>'汇总'!$B$10</x:f>
        <x:v>0.5240956606616505</x:v>
      </x:c>
      <x:c r="D20" s="38" t="n">
        <x:v>128402</x:v>
      </x:c>
      <x:c r="E20" s="38" t="n">
        <x:v>112171</x:v>
      </x:c>
      <x:c r="F20" s="38" t="n">
        <x:v>767051</x:v>
      </x:c>
      <x:c r="G20" s="38" t="n">
        <x:v>720376</x:v>
      </x:c>
      <x:c r="H20" s="39" t="n">
        <x:f>D20/(D20+G20)</x:f>
        <x:v>0.15127866179377883</x:v>
      </x:c>
      <x:c r="I20" s="39" t="n">
        <x:f>E20/(E20+F20)</x:f>
        <x:v>0.1275798376291767</x:v>
      </x:c>
      <x:c r="J20" s="39" t="n">
        <x:f>F20/(E20+F20)</x:f>
        <x:v>0.8724201623708233</x:v>
      </x:c>
      <x:c r="K20" s="39" t="n">
        <x:f>(D20+F20)/SUM(D20:G20)</x:f>
        <x:v>0.5182019675925926</x:v>
      </x:c>
      <x:c r="L20" s="39" t="n">
        <x:f>(H20+J20)/2</x:f>
        <x:v>0.5118494120823011</x:v>
      </x:c>
      <x:c r="M20" s="39" t="n">
        <x:f>D20/(D20+E20)</x:f>
        <x:v>0.5337340433049428</x:v>
      </x:c>
      <x:c r="N20" s="39" t="n">
        <x:f>2*M20*H20/(M20+H20)</x:f>
        <x:v>0.23574036283989278</x:v>
      </x:c>
      <x:c r="O20" s="39" t="n">
        <x:f>(D20+E20)/SUM(D20:G20)</x:f>
        <x:v>0.13922048611111112</x:v>
      </x:c>
      <x:c r="P20" s="39" t="n">
        <x:f>H20-I20</x:f>
        <x:v>0.023698824164602117</x:v>
      </x:c>
    </x:row>
    <x:row r="21">
      <x:c r="A21" s="36" t="n">
        <x:v>0.56</x:v>
      </x:c>
      <x:c r="B21" s="36" t="n">
        <x:f>A21-0.5</x:f>
        <x:v>0.06000000000000005</x:v>
      </x:c>
      <x:c r="C21" s="37" t="n">
        <x:f>'汇总'!$B$10</x:f>
        <x:v>0.5240956606616505</x:v>
      </x:c>
      <x:c r="D21" s="38" t="n">
        <x:v>102907</x:v>
      </x:c>
      <x:c r="E21" s="38" t="n">
        <x:v>87608</x:v>
      </x:c>
      <x:c r="F21" s="38" t="n">
        <x:v>791614</x:v>
      </x:c>
      <x:c r="G21" s="38" t="n">
        <x:v>745871</x:v>
      </x:c>
      <x:c r="H21" s="39" t="n">
        <x:f>D21/(D21+G21)</x:f>
        <x:v>0.12124136110973659</x:v>
      </x:c>
      <x:c r="I21" s="39" t="n">
        <x:f>E21/(E21+F21)</x:f>
        <x:v>0.0996426386054944</x:v>
      </x:c>
      <x:c r="J21" s="39" t="n">
        <x:f>F21/(E21+F21)</x:f>
        <x:v>0.9003573613945056</x:v>
      </x:c>
      <x:c r="K21" s="39" t="n">
        <x:f>(D21+F21)/SUM(D21:G21)</x:f>
        <x:v>0.5176626157407408</x:v>
      </x:c>
      <x:c r="L21" s="39" t="n">
        <x:f>(H21+J21)/2</x:f>
        <x:v>0.5107993612521211</x:v>
      </x:c>
      <x:c r="M21" s="39" t="n">
        <x:f>D21/(D21+E21)</x:f>
        <x:v>0.5401516940923287</x:v>
      </x:c>
      <x:c r="N21" s="39" t="n">
        <x:f>2*M21*H21/(M21+H21)</x:f>
        <x:v>0.19803270107659726</x:v>
      </x:c>
      <x:c r="O21" s="39" t="n">
        <x:f>(D21+E21)/SUM(D21:G21)</x:f>
        <x:v>0.11025173611111111</x:v>
      </x:c>
      <x:c r="P21" s="39" t="n">
        <x:f>H21-I21</x:f>
        <x:v>0.02159872250424219</x:v>
      </x:c>
    </x:row>
    <x:row r="22">
      <x:c r="A22" s="36" t="n">
        <x:v>0.57</x:v>
      </x:c>
      <x:c r="B22" s="36" t="n">
        <x:f>A22-0.5</x:f>
        <x:v>0.06999999999999995</x:v>
      </x:c>
      <x:c r="C22" s="37" t="n">
        <x:f>'汇总'!$B$10</x:f>
        <x:v>0.5240956606616505</x:v>
      </x:c>
      <x:c r="D22" s="38" t="n">
        <x:v>82283</x:v>
      </x:c>
      <x:c r="E22" s="38" t="n">
        <x:v>67840</x:v>
      </x:c>
      <x:c r="F22" s="38" t="n">
        <x:v>811382</x:v>
      </x:c>
      <x:c r="G22" s="38" t="n">
        <x:v>766495</x:v>
      </x:c>
      <x:c r="H22" s="39" t="n">
        <x:f>D22/(D22+G22)</x:f>
        <x:v>0.09694289908550881</x:v>
      </x:c>
      <x:c r="I22" s="39" t="n">
        <x:f>E22/(E22+F22)</x:f>
        <x:v>0.07715912477167314</x:v>
      </x:c>
      <x:c r="J22" s="39" t="n">
        <x:f>F22/(E22+F22)</x:f>
        <x:v>0.9228408752283268</x:v>
      </x:c>
      <x:c r="K22" s="39" t="n">
        <x:f>(D22+F22)/SUM(D22:G22)</x:f>
        <x:v>0.5171672453703704</x:v>
      </x:c>
      <x:c r="L22" s="39" t="n">
        <x:f>(H22+J22)/2</x:f>
        <x:v>0.5098918871569178</x:v>
      </x:c>
      <x:c r="M22" s="39" t="n">
        <x:f>D22/(D22+E22)</x:f>
        <x:v>0.5481038881450544</x:v>
      </x:c>
      <x:c r="N22" s="39" t="n">
        <x:f>2*M22*H22/(M22+H22)</x:f>
        <x:v>0.1647470570156602</x:v>
      </x:c>
      <x:c r="O22" s="39" t="n">
        <x:f>(D22+E22)/SUM(D22:G22)</x:f>
        <x:v>0.08687673611111112</x:v>
      </x:c>
      <x:c r="P22" s="39" t="n">
        <x:f>H22-I22</x:f>
        <x:v>0.01978377431383567</x:v>
      </x:c>
    </x:row>
    <x:row r="23">
      <x:c r="A23" s="36" t="n">
        <x:v>0.58</x:v>
      </x:c>
      <x:c r="B23" s="36" t="n">
        <x:f>A23-0.5</x:f>
        <x:v>0.07999999999999996</x:v>
      </x:c>
      <x:c r="C23" s="37" t="n">
        <x:f>'汇总'!$B$10</x:f>
        <x:v>0.5240956606616505</x:v>
      </x:c>
      <x:c r="D23" s="38" t="n">
        <x:v>65755</x:v>
      </x:c>
      <x:c r="E23" s="38" t="n">
        <x:v>52581</x:v>
      </x:c>
      <x:c r="F23" s="38" t="n">
        <x:v>826641</x:v>
      </x:c>
      <x:c r="G23" s="38" t="n">
        <x:v>783023</x:v>
      </x:c>
      <x:c r="H23" s="39" t="n">
        <x:f>D23/(D23+G23)</x:f>
        <x:v>0.07747019833219052</x:v>
      </x:c>
      <x:c r="I23" s="39" t="n">
        <x:f>E23/(E23+F23)</x:f>
        <x:v>0.059804008543917236</x:v>
      </x:c>
      <x:c r="J23" s="39" t="n">
        <x:f>F23/(E23+F23)</x:f>
        <x:v>0.9401959914560828</x:v>
      </x:c>
      <x:c r="K23" s="39" t="n">
        <x:f>(D23+F23)/SUM(D23:G23)</x:f>
        <x:v>0.5164328703703703</x:v>
      </x:c>
      <x:c r="L23" s="39" t="n">
        <x:f>(H23+J23)/2</x:f>
        <x:v>0.5088330948941366</x:v>
      </x:c>
      <x:c r="M23" s="39" t="n">
        <x:f>D23/(D23+E23)</x:f>
        <x:v>0.5556635343428881</x:v>
      </x:c>
      <x:c r="N23" s="39" t="n">
        <x:f>2*M23*H23/(M23+H23)</x:f>
        <x:v>0.13598190078935887</x:v>
      </x:c>
      <x:c r="O23" s="39" t="n">
        <x:f>(D23+E23)/SUM(D23:G23)</x:f>
        <x:v>0.06848148148148148</x:v>
      </x:c>
      <x:c r="P23" s="39" t="n">
        <x:f>H23-I23</x:f>
        <x:v>0.01766618978827328</x:v>
      </x:c>
    </x:row>
    <x:row r="24">
      <x:c r="A24" s="36" t="n">
        <x:v>0.59</x:v>
      </x:c>
      <x:c r="B24" s="36" t="n">
        <x:f>A24-0.5</x:f>
        <x:v>0.08999999999999997</x:v>
      </x:c>
      <x:c r="C24" s="37" t="n">
        <x:f>'汇总'!$B$10</x:f>
        <x:v>0.5240956606616505</x:v>
      </x:c>
      <x:c r="D24" s="38" t="n">
        <x:v>52394</x:v>
      </x:c>
      <x:c r="E24" s="38" t="n">
        <x:v>40606</x:v>
      </x:c>
      <x:c r="F24" s="38" t="n">
        <x:v>838616</x:v>
      </x:c>
      <x:c r="G24" s="38" t="n">
        <x:v>796384</x:v>
      </x:c>
      <x:c r="H24" s="39" t="n">
        <x:f>D24/(D24+G24)</x:f>
        <x:v>0.06172874414746848</x:v>
      </x:c>
      <x:c r="I24" s="39" t="n">
        <x:f>E24/(E24+F24)</x:f>
        <x:v>0.04618401268394103</x:v>
      </x:c>
      <x:c r="J24" s="39" t="n">
        <x:f>F24/(E24+F24)</x:f>
        <x:v>0.953815987316059</x:v>
      </x:c>
      <x:c r="K24" s="39" t="n">
        <x:f>(D24+F24)/SUM(D24:G24)</x:f>
        <x:v>0.515630787037037</x:v>
      </x:c>
      <x:c r="L24" s="39" t="n">
        <x:f>(H24+J24)/2</x:f>
        <x:v>0.5077723657317638</x:v>
      </x:c>
      <x:c r="M24" s="39" t="n">
        <x:f>D24/(D24+E24)</x:f>
        <x:v>0.5633763440860216</x:v>
      </x:c>
      <x:c r="N24" s="39" t="n">
        <x:f>2*M24*H24/(M24+H24)</x:f>
        <x:v>0.1112661370301706</x:v>
      </x:c>
      <x:c r="O24" s="39" t="n">
        <x:f>(D24+E24)/SUM(D24:G24)</x:f>
        <x:v>0.05381944444444445</x:v>
      </x:c>
      <x:c r="P24" s="39" t="n">
        <x:f>H24-I24</x:f>
        <x:v>0.015544731463527445</x:v>
      </x:c>
    </x:row>
    <x:row r="25">
      <x:c r="A25" s="36" t="n">
        <x:v>0.6</x:v>
      </x:c>
      <x:c r="B25" s="36" t="n">
        <x:f>A25-0.5</x:f>
        <x:v>0.09999999999999998</x:v>
      </x:c>
      <x:c r="C25" s="37" t="n">
        <x:f>'汇总'!$B$10</x:f>
        <x:v>0.5240956606616505</x:v>
      </x:c>
      <x:c r="D25" s="38" t="n">
        <x:v>41357</x:v>
      </x:c>
      <x:c r="E25" s="38" t="n">
        <x:v>30878</x:v>
      </x:c>
      <x:c r="F25" s="38" t="n">
        <x:v>848344</x:v>
      </x:c>
      <x:c r="G25" s="38" t="n">
        <x:v>807421</x:v>
      </x:c>
      <x:c r="H25" s="39" t="n">
        <x:f>D25/(D25+G25)</x:f>
        <x:v>0.04872534396508863</x:v>
      </x:c>
      <x:c r="I25" s="39" t="n">
        <x:f>E25/(E25+F25)</x:f>
        <x:v>0.035119685358191675</x:v>
      </x:c>
      <x:c r="J25" s="39" t="n">
        <x:f>F25/(E25+F25)</x:f>
        <x:v>0.9648803146418083</x:v>
      </x:c>
      <x:c r="K25" s="39" t="n">
        <x:f>(D25+F25)/SUM(D25:G25)</x:f>
        <x:v>0.5148732638888889</x:v>
      </x:c>
      <x:c r="L25" s="39" t="n">
        <x:f>(H25+J25)/2</x:f>
        <x:v>0.5068028293034484</x:v>
      </x:c>
      <x:c r="M25" s="39" t="n">
        <x:f>D25/(D25+E25)</x:f>
        <x:v>0.5725340901225168</x:v>
      </x:c>
      <x:c r="N25" s="39" t="n">
        <x:f>2*M25*H25/(M25+H25)</x:f>
        <x:v>0.08980763572283997</x:v>
      </x:c>
      <x:c r="O25" s="39" t="n">
        <x:f>(D25+E25)/SUM(D25:G25)</x:f>
        <x:v>0.04180266203703704</x:v>
      </x:c>
      <x:c r="P25" s="39" t="n">
        <x:f>H25-I25</x:f>
        <x:v>0.013605658606896956</x:v>
      </x:c>
    </x:row>
  </x:sheetData>
  <x:mergeCells>
    <x:mergeCell ref="A1:P1"/>
    <x:mergeCell ref="A2:P2"/>
  </x:mergeCells>
  <x:conditionalFormatting sqref="A5:P25">
    <x:cfRule type="expression" dxfId="0" priority="1">
      <x:formula>$A5=0.5</x:formula>
    </x:cfRule>
  </x:conditionalFormatting>
  <x:conditionalFormatting sqref="L5:L25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0" customHeight="1">
      <x:c r="A1" s="40" t="str">
        <x:v>前70%验证段：全局阈值敏感性表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</x:row>
    <x:row r="2" ht="28" customHeight="1">
      <x:c r="A2" s="15" t="str">
        <x:v>阈值范围0.40–0.60，步长0.01；样本量1,209,600。AUC为整条ROC曲线面积，因此本表各阈值行的AUC相同。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4" ht="34" customHeight="1">
      <x:c r="A4" s="28" t="str">
        <x:v>概率阈值</x:v>
      </x:c>
      <x:c r="B4" s="29" t="str">
        <x:v>原始pred分界点</x:v>
      </x:c>
      <x:c r="C4" s="29" t="str">
        <x:v>AUC</x:v>
      </x:c>
      <x:c r="D4" s="29" t="str">
        <x:v>TP</x:v>
      </x:c>
      <x:c r="E4" s="29" t="str">
        <x:v>FP</x:v>
      </x:c>
      <x:c r="F4" s="29" t="str">
        <x:v>TN</x:v>
      </x:c>
      <x:c r="G4" s="29" t="str">
        <x:v>FN</x:v>
      </x:c>
      <x:c r="H4" s="29" t="str">
        <x:v>TPR/召回率</x:v>
      </x:c>
      <x:c r="I4" s="29" t="str">
        <x:v>FPR</x:v>
      </x:c>
      <x:c r="J4" s="29" t="str">
        <x:v>特异度</x:v>
      </x:c>
      <x:c r="K4" s="29" t="str">
        <x:v>Accuracy</x:v>
      </x:c>
      <x:c r="L4" s="29" t="str">
        <x:v>Balanced Accuracy</x:v>
      </x:c>
      <x:c r="M4" s="29" t="str">
        <x:v>Precision</x:v>
      </x:c>
      <x:c r="N4" s="29" t="str">
        <x:v>F1</x:v>
      </x:c>
      <x:c r="O4" s="29" t="str">
        <x:v>预测正类比例</x:v>
      </x:c>
      <x:c r="P4" s="30" t="str">
        <x:v>Youden J</x:v>
      </x:c>
    </x:row>
    <x:row r="5">
      <x:c r="A5" s="32" t="n">
        <x:v>0.4</x:v>
      </x:c>
      <x:c r="B5" s="32" t="n">
        <x:f>A5-0.5</x:f>
        <x:v>-0.09999999999999998</x:v>
      </x:c>
      <x:c r="C5" s="33" t="n">
        <x:f>'汇总'!$B$11</x:f>
        <x:v>0.5296329445271939</x:v>
      </x:c>
      <x:c r="D5" s="34" t="n">
        <x:v>577997</x:v>
      </x:c>
      <x:c r="E5" s="34" t="n">
        <x:v>603528</x:v>
      </x:c>
      <x:c r="F5" s="34" t="n">
        <x:v>16315</x:v>
      </x:c>
      <x:c r="G5" s="34" t="n">
        <x:v>11760</x:v>
      </x:c>
      <x:c r="H5" s="35" t="n">
        <x:f>D5/(D5+G5)</x:f>
        <x:v>0.9800595838625061</x:v>
      </x:c>
      <x:c r="I5" s="35" t="n">
        <x:f>E5/(E5+F5)</x:f>
        <x:v>0.9736788186685983</x:v>
      </x:c>
      <x:c r="J5" s="35" t="n">
        <x:f>F5/(E5+F5)</x:f>
        <x:v>0.026321181331401662</x:v>
      </x:c>
      <x:c r="K5" s="35" t="n">
        <x:f>(D5+F5)/SUM(D5:G5)</x:f>
        <x:v>0.4913293650793651</x:v>
      </x:c>
      <x:c r="L5" s="35" t="n">
        <x:f>(H5+J5)/2</x:f>
        <x:v>0.5031903825969539</x:v>
      </x:c>
      <x:c r="M5" s="35" t="n">
        <x:f>D5/(D5+E5)</x:f>
        <x:v>0.4891957427900383</x:v>
      </x:c>
      <x:c r="N5" s="35" t="n">
        <x:f>2*M5*H5/(M5+H5)</x:f>
        <x:v>0.6526312580379634</x:v>
      </x:c>
      <x:c r="O5" s="35" t="n">
        <x:f>(D5+E5)/SUM(D5:G5)</x:f>
        <x:v>0.9767898478835979</x:v>
      </x:c>
      <x:c r="P5" s="35" t="n">
        <x:f>H5-I5</x:f>
        <x:v>0.006380765193907845</x:v>
      </x:c>
    </x:row>
    <x:row r="6">
      <x:c r="A6" s="36" t="n">
        <x:v>0.41</x:v>
      </x:c>
      <x:c r="B6" s="36" t="n">
        <x:f>A6-0.5</x:f>
        <x:v>-0.09000000000000002</x:v>
      </x:c>
      <x:c r="C6" s="37" t="n">
        <x:f>'汇总'!$B$11</x:f>
        <x:v>0.5296329445271939</x:v>
      </x:c>
      <x:c r="D6" s="38" t="n">
        <x:v>569290</x:v>
      </x:c>
      <x:c r="E6" s="38" t="n">
        <x:v>592609</x:v>
      </x:c>
      <x:c r="F6" s="38" t="n">
        <x:v>27234</x:v>
      </x:c>
      <x:c r="G6" s="38" t="n">
        <x:v>20467</x:v>
      </x:c>
      <x:c r="H6" s="39" t="n">
        <x:f>D6/(D6+G6)</x:f>
        <x:v>0.9652958760981217</x:v>
      </x:c>
      <x:c r="I6" s="39" t="n">
        <x:f>E6/(E6+F6)</x:f>
        <x:v>0.9560630675832429</x:v>
      </x:c>
      <x:c r="J6" s="39" t="n">
        <x:f>F6/(E6+F6)</x:f>
        <x:v>0.04393693241675715</x:v>
      </x:c>
      <x:c r="K6" s="39" t="n">
        <x:f>(D6+F6)/SUM(D6:G6)</x:f>
        <x:v>0.4931580687830688</x:v>
      </x:c>
      <x:c r="L6" s="39" t="n">
        <x:f>(H6+J6)/2</x:f>
        <x:v>0.5046164042574395</x:v>
      </x:c>
      <x:c r="M6" s="39" t="n">
        <x:f>D6/(D6+E6)</x:f>
        <x:v>0.4899651346631678</x:v>
      </x:c>
      <x:c r="N6" s="39" t="n">
        <x:f>2*M6*H6/(M6+H6)</x:f>
        <x:v>0.6500020551980527</x:v>
      </x:c>
      <x:c r="O6" s="39" t="n">
        <x:f>(D6+E6)/SUM(D6:G6)</x:f>
        <x:v>0.9605646494708995</x:v>
      </x:c>
      <x:c r="P6" s="39" t="n">
        <x:f>H6-I6</x:f>
        <x:v>0.009232808514878843</x:v>
      </x:c>
    </x:row>
    <x:row r="7">
      <x:c r="A7" s="36" t="n">
        <x:v>0.42</x:v>
      </x:c>
      <x:c r="B7" s="36" t="n">
        <x:f>A7-0.5</x:f>
        <x:v>-0.08000000000000002</x:v>
      </x:c>
      <x:c r="C7" s="37" t="n">
        <x:f>'汇总'!$B$11</x:f>
        <x:v>0.5296329445271939</x:v>
      </x:c>
      <x:c r="D7" s="38" t="n">
        <x:v>556020</x:v>
      </x:c>
      <x:c r="E7" s="38" t="n">
        <x:v>576031</x:v>
      </x:c>
      <x:c r="F7" s="38" t="n">
        <x:v>43812</x:v>
      </x:c>
      <x:c r="G7" s="38" t="n">
        <x:v>33737</x:v>
      </x:c>
      <x:c r="H7" s="39" t="n">
        <x:f>D7/(D7+G7)</x:f>
        <x:v>0.9427950833987557</x:v>
      </x:c>
      <x:c r="I7" s="39" t="n">
        <x:f>E7/(E7+F7)</x:f>
        <x:v>0.9293175852594932</x:v>
      </x:c>
      <x:c r="J7" s="39" t="n">
        <x:f>F7/(E7+F7)</x:f>
        <x:v>0.07068241474050688</x:v>
      </x:c>
      <x:c r="K7" s="39" t="n">
        <x:f>(D7+F7)/SUM(D7:G7)</x:f>
        <x:v>0.49589285714285714</x:v>
      </x:c>
      <x:c r="L7" s="39" t="n">
        <x:f>(H7+J7)/2</x:f>
        <x:v>0.5067387490696313</x:v>
      </x:c>
      <x:c r="M7" s="39" t="n">
        <x:f>D7/(D7+E7)</x:f>
        <x:v>0.4911616172769601</x:v>
      </x:c>
      <x:c r="N7" s="39" t="n">
        <x:f>2*M7*H7/(M7+H7)</x:f>
        <x:v>0.6458559839424605</x:v>
      </x:c>
      <x:c r="O7" s="39" t="n">
        <x:f>(D7+E7)/SUM(D7:G7)</x:f>
        <x:v>0.9358887235449735</x:v>
      </x:c>
      <x:c r="P7" s="39" t="n">
        <x:f>H7-I7</x:f>
        <x:v>0.013477498139262578</x:v>
      </x:c>
    </x:row>
    <x:row r="8">
      <x:c r="A8" s="36" t="n">
        <x:v>0.43</x:v>
      </x:c>
      <x:c r="B8" s="36" t="n">
        <x:f>A8-0.5</x:f>
        <x:v>-0.07</x:v>
      </x:c>
      <x:c r="C8" s="37" t="n">
        <x:f>'汇总'!$B$11</x:f>
        <x:v>0.5296329445271939</x:v>
      </x:c>
      <x:c r="D8" s="38" t="n">
        <x:v>536613</x:v>
      </x:c>
      <x:c r="E8" s="38" t="n">
        <x:v>552591</x:v>
      </x:c>
      <x:c r="F8" s="38" t="n">
        <x:v>67252</x:v>
      </x:c>
      <x:c r="G8" s="38" t="n">
        <x:v>53144</x:v>
      </x:c>
      <x:c r="H8" s="39" t="n">
        <x:f>D8/(D8+G8)</x:f>
        <x:v>0.9098883099310394</x:v>
      </x:c>
      <x:c r="I8" s="39" t="n">
        <x:f>E8/(E8+F8)</x:f>
        <x:v>0.8915015576525023</x:v>
      </x:c>
      <x:c r="J8" s="39" t="n">
        <x:f>F8/(E8+F8)</x:f>
        <x:v>0.10849844234749767</x:v>
      </x:c>
      <x:c r="K8" s="39" t="n">
        <x:f>(D8+F8)/SUM(D8:G8)</x:f>
        <x:v>0.4992270171957672</x:v>
      </x:c>
      <x:c r="L8" s="39" t="n">
        <x:f>(H8+J8)/2</x:f>
        <x:v>0.5091933761392685</x:v>
      </x:c>
      <x:c r="M8" s="39" t="n">
        <x:f>D8/(D8+E8)</x:f>
        <x:v>0.49266528584177066</x:v>
      </x:c>
      <x:c r="N8" s="39" t="n">
        <x:f>2*M8*H8/(M8+H8)</x:f>
        <x:v>0.6392203273333924</x:v>
      </x:c>
      <x:c r="O8" s="39" t="n">
        <x:f>(D8+E8)/SUM(D8:G8)</x:f>
        <x:v>0.9004662698412699</x:v>
      </x:c>
      <x:c r="P8" s="39" t="n">
        <x:f>H8-I8</x:f>
        <x:v>0.018386752278537144</x:v>
      </x:c>
    </x:row>
    <x:row r="9">
      <x:c r="A9" s="36" t="n">
        <x:v>0.44</x:v>
      </x:c>
      <x:c r="B9" s="36" t="n">
        <x:f>A9-0.5</x:f>
        <x:v>-0.06</x:v>
      </x:c>
      <x:c r="C9" s="37" t="n">
        <x:f>'汇总'!$B$11</x:f>
        <x:v>0.5296329445271939</x:v>
      </x:c>
      <x:c r="D9" s="38" t="n">
        <x:v>509988</x:v>
      </x:c>
      <x:c r="E9" s="38" t="n">
        <x:v>521300</x:v>
      </x:c>
      <x:c r="F9" s="38" t="n">
        <x:v>98543</x:v>
      </x:c>
      <x:c r="G9" s="38" t="n">
        <x:v>79769</x:v>
      </x:c>
      <x:c r="H9" s="39" t="n">
        <x:f>D9/(D9+G9)</x:f>
        <x:v>0.864742597374851</x:v>
      </x:c>
      <x:c r="I9" s="39" t="n">
        <x:f>E9/(E9+F9)</x:f>
        <x:v>0.8410194194336308</x:v>
      </x:c>
      <x:c r="J9" s="39" t="n">
        <x:f>F9/(E9+F9)</x:f>
        <x:v>0.15898058056636924</x:v>
      </x:c>
      <x:c r="K9" s="39" t="n">
        <x:f>(D9+F9)/SUM(D9:G9)</x:f>
        <x:v>0.5030844907407407</x:v>
      </x:c>
      <x:c r="L9" s="39" t="n">
        <x:f>(H9+J9)/2</x:f>
        <x:v>0.5118615889706102</x:v>
      </x:c>
      <x:c r="M9" s="39" t="n">
        <x:f>D9/(D9+E9)</x:f>
        <x:v>0.49451559603137046</x:v>
      </x:c>
      <x:c r="N9" s="39" t="n">
        <x:f>2*M9*H9/(M9+H9)</x:f>
        <x:v>0.6292089362109009</x:v>
      </x:c>
      <x:c r="O9" s="39" t="n">
        <x:f>(D9+E9)/SUM(D9:G9)</x:f>
        <x:v>0.8525859788359789</x:v>
      </x:c>
      <x:c r="P9" s="39" t="n">
        <x:f>H9-I9</x:f>
        <x:v>0.023723177941220253</x:v>
      </x:c>
    </x:row>
    <x:row r="10">
      <x:c r="A10" s="36" t="n">
        <x:v>0.45</x:v>
      </x:c>
      <x:c r="B10" s="36" t="n">
        <x:f>A10-0.5</x:f>
        <x:v>-0.04999999999999999</x:v>
      </x:c>
      <x:c r="C10" s="37" t="n">
        <x:f>'汇总'!$B$11</x:f>
        <x:v>0.5296329445271939</x:v>
      </x:c>
      <x:c r="D10" s="38" t="n">
        <x:v>476062</x:v>
      </x:c>
      <x:c r="E10" s="38" t="n">
        <x:v>482358</x:v>
      </x:c>
      <x:c r="F10" s="38" t="n">
        <x:v>137485</x:v>
      </x:c>
      <x:c r="G10" s="38" t="n">
        <x:v>113695</x:v>
      </x:c>
      <x:c r="H10" s="39" t="n">
        <x:f>D10/(D10+G10)</x:f>
        <x:v>0.8072172097999685</x:v>
      </x:c>
      <x:c r="I10" s="39" t="n">
        <x:f>E10/(E10+F10)</x:f>
        <x:v>0.778193832954474</x:v>
      </x:c>
      <x:c r="J10" s="39" t="n">
        <x:f>F10/(E10+F10)</x:f>
        <x:v>0.22180616704552605</x:v>
      </x:c>
      <x:c r="K10" s="39" t="n">
        <x:f>(D10+F10)/SUM(D10:G10)</x:f>
        <x:v>0.5072313161375661</x:v>
      </x:c>
      <x:c r="L10" s="39" t="n">
        <x:f>(H10+J10)/2</x:f>
        <x:v>0.5145116884227473</x:v>
      </x:c>
      <x:c r="M10" s="39" t="n">
        <x:f>D10/(D10+E10)</x:f>
        <x:v>0.4967154274743849</x:v>
      </x:c>
      <x:c r="N10" s="39" t="n">
        <x:f>2*M10*H10/(M10+H10)</x:f>
        <x:v>0.6149968640536579</x:v>
      </x:c>
      <x:c r="O10" s="39" t="n">
        <x:f>(D10+E10)/SUM(D10:G10)</x:f>
        <x:v>0.7923445767195767</x:v>
      </x:c>
      <x:c r="P10" s="39" t="n">
        <x:f>H10-I10</x:f>
        <x:v>0.029023376845494497</x:v>
      </x:c>
    </x:row>
    <x:row r="11">
      <x:c r="A11" s="36" t="n">
        <x:v>0.46</x:v>
      </x:c>
      <x:c r="B11" s="36" t="n">
        <x:f>A11-0.5</x:f>
        <x:v>-0.03999999999999998</x:v>
      </x:c>
      <x:c r="C11" s="37" t="n">
        <x:f>'汇总'!$B$11</x:f>
        <x:v>0.5296329445271939</x:v>
      </x:c>
      <x:c r="D11" s="38" t="n">
        <x:v>434616</x:v>
      </x:c>
      <x:c r="E11" s="38" t="n">
        <x:v>436643</x:v>
      </x:c>
      <x:c r="F11" s="38" t="n">
        <x:v>183200</x:v>
      </x:c>
      <x:c r="G11" s="38" t="n">
        <x:v>155141</x:v>
      </x:c>
      <x:c r="H11" s="39" t="n">
        <x:f>D11/(D11+G11)</x:f>
        <x:v>0.7369408078242394</x:v>
      </x:c>
      <x:c r="I11" s="39" t="n">
        <x:f>E11/(E11+F11)</x:f>
        <x:v>0.704441285938536</x:v>
      </x:c>
      <x:c r="J11" s="39" t="n">
        <x:f>F11/(E11+F11)</x:f>
        <x:v>0.29555871406146395</x:v>
      </x:c>
      <x:c r="K11" s="39" t="n">
        <x:f>(D11+F11)/SUM(D11:G11)</x:f>
        <x:v>0.510760582010582</x:v>
      </x:c>
      <x:c r="L11" s="39" t="n">
        <x:f>(H11+J11)/2</x:f>
        <x:v>0.5162497609428517</x:v>
      </x:c>
      <x:c r="M11" s="39" t="n">
        <x:f>D11/(D11+E11)</x:f>
        <x:v>0.4988367408543269</x:v>
      </x:c>
      <x:c r="N11" s="39" t="n">
        <x:f>2*M11*H11/(M11+H11)</x:f>
        <x:v>0.5949503633088207</x:v>
      </x:c>
      <x:c r="O11" s="39" t="n">
        <x:f>(D11+E11)/SUM(D11:G11)</x:f>
        <x:v>0.7202868716931217</x:v>
      </x:c>
      <x:c r="P11" s="39" t="n">
        <x:f>H11-I11</x:f>
        <x:v>0.032499521885703375</x:v>
      </x:c>
    </x:row>
    <x:row r="12">
      <x:c r="A12" s="36" t="n">
        <x:v>0.47</x:v>
      </x:c>
      <x:c r="B12" s="36" t="n">
        <x:f>A12-0.5</x:f>
        <x:v>-0.030000000000000027</x:v>
      </x:c>
      <x:c r="C12" s="37" t="n">
        <x:f>'汇总'!$B$11</x:f>
        <x:v>0.5296329445271939</x:v>
      </x:c>
      <x:c r="D12" s="38" t="n">
        <x:v>388434</x:v>
      </x:c>
      <x:c r="E12" s="38" t="n">
        <x:v>386167</x:v>
      </x:c>
      <x:c r="F12" s="38" t="n">
        <x:v>233676</x:v>
      </x:c>
      <x:c r="G12" s="38" t="n">
        <x:v>201323</x:v>
      </x:c>
      <x:c r="H12" s="39" t="n">
        <x:f>D12/(D12+G12)</x:f>
        <x:v>0.6586339797577646</x:v>
      </x:c>
      <x:c r="I12" s="39" t="n">
        <x:f>E12/(E12+F12)</x:f>
        <x:v>0.6230077616428676</x:v>
      </x:c>
      <x:c r="J12" s="39" t="n">
        <x:f>F12/(E12+F12)</x:f>
        <x:v>0.37699223835713236</x:v>
      </x:c>
      <x:c r="K12" s="39" t="n">
        <x:f>(D12+F12)/SUM(D12:G12)</x:f>
        <x:v>0.5143105158730159</x:v>
      </x:c>
      <x:c r="L12" s="39" t="n">
        <x:f>(H12+J12)/2</x:f>
        <x:v>0.5178131090574485</x:v>
      </x:c>
      <x:c r="M12" s="39" t="n">
        <x:f>D12/(D12+E12)</x:f>
        <x:v>0.5014633340261632</x:v>
      </x:c>
      <x:c r="N12" s="39" t="n">
        <x:f>2*M12*H12/(M12+H12)</x:f>
        <x:v>0.5694018725290576</x:v>
      </x:c>
      <x:c r="O12" s="39" t="n">
        <x:f>(D12+E12)/SUM(D12:G12)</x:f>
        <x:v>0.6403778108465609</x:v>
      </x:c>
      <x:c r="P12" s="39" t="n">
        <x:f>H12-I12</x:f>
        <x:v>0.03562621811489697</x:v>
      </x:c>
    </x:row>
    <x:row r="13">
      <x:c r="A13" s="36" t="n">
        <x:v>0.48</x:v>
      </x:c>
      <x:c r="B13" s="36" t="n">
        <x:f>A13-0.5</x:f>
        <x:v>-0.020000000000000018</x:v>
      </x:c>
      <x:c r="C13" s="37" t="n">
        <x:f>'汇总'!$B$11</x:f>
        <x:v>0.5296329445271939</x:v>
      </x:c>
      <x:c r="D13" s="38" t="n">
        <x:v>339886</x:v>
      </x:c>
      <x:c r="E13" s="38" t="n">
        <x:v>333536</x:v>
      </x:c>
      <x:c r="F13" s="38" t="n">
        <x:v>286307</x:v>
      </x:c>
      <x:c r="G13" s="38" t="n">
        <x:v>249871</x:v>
      </x:c>
      <x:c r="H13" s="39" t="n">
        <x:f>D13/(D13+G13)</x:f>
        <x:v>0.5763153298731511</x:v>
      </x:c>
      <x:c r="I13" s="39" t="n">
        <x:f>E13/(E13+F13)</x:f>
        <x:v>0.5380975505087578</x:v>
      </x:c>
      <x:c r="J13" s="39" t="n">
        <x:f>F13/(E13+F13)</x:f>
        <x:v>0.46190244949124215</x:v>
      </x:c>
      <x:c r="K13" s="39" t="n">
        <x:f>(D13+F13)/SUM(D13:G13)</x:f>
        <x:v>0.5176860119047619</x:v>
      </x:c>
      <x:c r="L13" s="39" t="n">
        <x:f>(H13+J13)/2</x:f>
        <x:v>0.5191088896821967</x:v>
      </x:c>
      <x:c r="M13" s="39" t="n">
        <x:f>D13/(D13+E13)</x:f>
        <x:v>0.5047147256846376</x:v>
      </x:c>
      <x:c r="N13" s="39" t="n">
        <x:f>2*M13*H13/(M13+H13)</x:f>
        <x:v>0.5381438418466424</x:v>
      </x:c>
      <x:c r="O13" s="39" t="n">
        <x:f>(D13+E13)/SUM(D13:G13)</x:f>
        <x:v>0.5567311507936508</x:v>
      </x:c>
      <x:c r="P13" s="39" t="n">
        <x:f>H13-I13</x:f>
        <x:v>0.0382177793643933</x:v>
      </x:c>
    </x:row>
    <x:row r="14">
      <x:c r="A14" s="36" t="n">
        <x:v>0.49</x:v>
      </x:c>
      <x:c r="B14" s="36" t="n">
        <x:f>A14-0.5</x:f>
        <x:v>-0.010000000000000009</x:v>
      </x:c>
      <x:c r="C14" s="37" t="n">
        <x:f>'汇总'!$B$11</x:f>
        <x:v>0.5296329445271939</x:v>
      </x:c>
      <x:c r="D14" s="38" t="n">
        <x:v>291915</x:v>
      </x:c>
      <x:c r="E14" s="38" t="n">
        <x:v>282444</x:v>
      </x:c>
      <x:c r="F14" s="38" t="n">
        <x:v>337399</x:v>
      </x:c>
      <x:c r="G14" s="38" t="n">
        <x:v>297842</x:v>
      </x:c>
      <x:c r="H14" s="39" t="n">
        <x:f>D14/(D14+G14)</x:f>
        <x:v>0.4949750490456239</x:v>
      </x:c>
      <x:c r="I14" s="39" t="n">
        <x:f>E14/(E14+F14)</x:f>
        <x:v>0.45567022617017533</x:v>
      </x:c>
      <x:c r="J14" s="39" t="n">
        <x:f>F14/(E14+F14)</x:f>
        <x:v>0.5443297738298246</x:v>
      </x:c>
      <x:c r="K14" s="39" t="n">
        <x:f>(D14+F14)/SUM(D14:G14)</x:f>
        <x:v>0.5202662037037037</x:v>
      </x:c>
      <x:c r="L14" s="39" t="n">
        <x:f>(H14+J14)/2</x:f>
        <x:v>0.5196524114377242</x:v>
      </x:c>
      <x:c r="M14" s="39" t="n">
        <x:f>D14/(D14+E14)</x:f>
        <x:v>0.5082448433819267</x:v>
      </x:c>
      <x:c r="N14" s="39" t="n">
        <x:f>2*M14*H14/(M14+H14)</x:f>
        <x:v>0.5015221850743397</x:v>
      </x:c>
      <x:c r="O14" s="39" t="n">
        <x:f>(D14+E14)/SUM(D14:G14)</x:f>
        <x:v>0.47483382936507934</x:v>
      </x:c>
      <x:c r="P14" s="39" t="n">
        <x:f>H14-I14</x:f>
        <x:v>0.039304822875448564</x:v>
      </x:c>
    </x:row>
    <x:row r="15">
      <x:c r="A15" s="36" t="n">
        <x:v>0.5</x:v>
      </x:c>
      <x:c r="B15" s="36" t="n">
        <x:f>A15-0.5</x:f>
        <x:v>0</x:v>
      </x:c>
      <x:c r="C15" s="37" t="n">
        <x:f>'汇总'!$B$11</x:f>
        <x:v>0.5296329445271939</x:v>
      </x:c>
      <x:c r="D15" s="38" t="n">
        <x:v>246474</x:v>
      </x:c>
      <x:c r="E15" s="38" t="n">
        <x:v>234773</x:v>
      </x:c>
      <x:c r="F15" s="38" t="n">
        <x:v>385070</x:v>
      </x:c>
      <x:c r="G15" s="38" t="n">
        <x:v>343283</x:v>
      </x:c>
      <x:c r="H15" s="39" t="n">
        <x:f>D15/(D15+G15)</x:f>
        <x:v>0.4179246706694452</x:v>
      </x:c>
      <x:c r="I15" s="39" t="n">
        <x:f>E15/(E15+F15)</x:f>
        <x:v>0.3787620413556336</x:v>
      </x:c>
      <x:c r="J15" s="39" t="n">
        <x:f>F15/(E15+F15)</x:f>
        <x:v>0.6212379586443664</x:v>
      </x:c>
      <x:c r="K15" s="39" t="n">
        <x:f>(D15+F15)/SUM(D15:G15)</x:f>
        <x:v>0.5221097883597884</x:v>
      </x:c>
      <x:c r="L15" s="39" t="n">
        <x:f>(H15+J15)/2</x:f>
        <x:v>0.5195813146569058</x:v>
      </x:c>
      <x:c r="M15" s="39" t="n">
        <x:f>D15/(D15+E15)</x:f>
        <x:v>0.512156958900523</x:v>
      </x:c>
      <x:c r="N15" s="39" t="n">
        <x:f>2*M15*H15/(M15+H15)</x:f>
        <x:v>0.4602671885445806</x:v>
      </x:c>
      <x:c r="O15" s="39" t="n">
        <x:f>(D15+E15)/SUM(D15:G15)</x:f>
        <x:v>0.3978563161375661</x:v>
      </x:c>
      <x:c r="P15" s="39" t="n">
        <x:f>H15-I15</x:f>
        <x:v>0.03916262931381159</x:v>
      </x:c>
    </x:row>
    <x:row r="16">
      <x:c r="A16" s="36" t="n">
        <x:v>0.51</x:v>
      </x:c>
      <x:c r="B16" s="36" t="n">
        <x:f>A16-0.5</x:f>
        <x:v>0.010000000000000009</x:v>
      </x:c>
      <x:c r="C16" s="37" t="n">
        <x:f>'汇总'!$B$11</x:f>
        <x:v>0.5296329445271939</x:v>
      </x:c>
      <x:c r="D16" s="38" t="n">
        <x:v>204754</x:v>
      </x:c>
      <x:c r="E16" s="38" t="n">
        <x:v>191795</x:v>
      </x:c>
      <x:c r="F16" s="38" t="n">
        <x:v>428048</x:v>
      </x:c>
      <x:c r="G16" s="38" t="n">
        <x:v>385003</x:v>
      </x:c>
      <x:c r="H16" s="39" t="n">
        <x:f>D16/(D16+G16)</x:f>
        <x:v>0.34718367056262156</x:v>
      </x:c>
      <x:c r="I16" s="39" t="n">
        <x:f>E16/(E16+F16)</x:f>
        <x:v>0.3094251286212799</x:v>
      </x:c>
      <x:c r="J16" s="39" t="n">
        <x:f>F16/(E16+F16)</x:f>
        <x:v>0.6905748713787201</x:v>
      </x:c>
      <x:c r="K16" s="39" t="n">
        <x:f>(D16+F16)/SUM(D16:G16)</x:f>
        <x:v>0.5231498015873016</x:v>
      </x:c>
      <x:c r="L16" s="39" t="n">
        <x:f>(H16+J16)/2</x:f>
        <x:v>0.5188792709706709</x:v>
      </x:c>
      <x:c r="M16" s="39" t="n">
        <x:f>D16/(D16+E16)</x:f>
        <x:v>0.5163397209424309</x:v>
      </x:c>
      <x:c r="N16" s="39" t="n">
        <x:f>2*M16*H16/(M16+H16)</x:f>
        <x:v>0.41519366200753116</x:v>
      </x:c>
      <x:c r="O16" s="39" t="n">
        <x:f>(D16+E16)/SUM(D16:G16)</x:f>
        <x:v>0.32783482142857145</x:v>
      </x:c>
      <x:c r="P16" s="39" t="n">
        <x:f>H16-I16</x:f>
        <x:v>0.03775854194134165</x:v>
      </x:c>
    </x:row>
    <x:row r="17">
      <x:c r="A17" s="36" t="n">
        <x:v>0.52</x:v>
      </x:c>
      <x:c r="B17" s="36" t="n">
        <x:f>A17-0.5</x:f>
        <x:v>0.020000000000000018</x:v>
      </x:c>
      <x:c r="C17" s="37" t="n">
        <x:f>'汇总'!$B$11</x:f>
        <x:v>0.5296329445271939</x:v>
      </x:c>
      <x:c r="D17" s="38" t="n">
        <x:v>167990</x:v>
      </x:c>
      <x:c r="E17" s="38" t="n">
        <x:v>154317</x:v>
      </x:c>
      <x:c r="F17" s="38" t="n">
        <x:v>465526</x:v>
      </x:c>
      <x:c r="G17" s="38" t="n">
        <x:v>421767</x:v>
      </x:c>
      <x:c r="H17" s="39" t="n">
        <x:f>D17/(D17+G17)</x:f>
        <x:v>0.2848461315423132</x:v>
      </x:c>
      <x:c r="I17" s="39" t="n">
        <x:f>E17/(E17+F17)</x:f>
        <x:v>0.24896143055580203</x:v>
      </x:c>
      <x:c r="J17" s="39" t="n">
        <x:f>F17/(E17+F17)</x:f>
        <x:v>0.751038569444198</x:v>
      </x:c>
      <x:c r="K17" s="39" t="n">
        <x:f>(D17+F17)/SUM(D17:G17)</x:f>
        <x:v>0.5237400793650794</x:v>
      </x:c>
      <x:c r="L17" s="39" t="n">
        <x:f>(H17+J17)/2</x:f>
        <x:v>0.5179423504932557</x:v>
      </x:c>
      <x:c r="M17" s="39" t="n">
        <x:f>D17/(D17+E17)</x:f>
        <x:v>0.5212111434129572</x:v>
      </x:c>
      <x:c r="N17" s="39" t="n">
        <x:f>2*M17*H17/(M17+H17)</x:f>
        <x:v>0.3683732720510841</x:v>
      </x:c>
      <x:c r="O17" s="39" t="n">
        <x:f>(D17+E17)/SUM(D17:G17)</x:f>
        <x:v>0.2664575066137566</x:v>
      </x:c>
      <x:c r="P17" s="39" t="n">
        <x:f>H17-I17</x:f>
        <x:v>0.03588470098651117</x:v>
      </x:c>
    </x:row>
    <x:row r="18">
      <x:c r="A18" s="36" t="n">
        <x:v>0.53</x:v>
      </x:c>
      <x:c r="B18" s="36" t="n">
        <x:f>A18-0.5</x:f>
        <x:v>0.030000000000000027</x:v>
      </x:c>
      <x:c r="C18" s="37" t="n">
        <x:f>'汇总'!$B$11</x:f>
        <x:v>0.5296329445271939</x:v>
      </x:c>
      <x:c r="D18" s="38" t="n">
        <x:v>136360</x:v>
      </x:c>
      <x:c r="E18" s="38" t="n">
        <x:v>122745</x:v>
      </x:c>
      <x:c r="F18" s="38" t="n">
        <x:v>497098</x:v>
      </x:c>
      <x:c r="G18" s="38" t="n">
        <x:v>453397</x:v>
      </x:c>
      <x:c r="H18" s="39" t="n">
        <x:f>D18/(D18+G18)</x:f>
        <x:v>0.23121387283236994</x:v>
      </x:c>
      <x:c r="I18" s="39" t="n">
        <x:f>E18/(E18+F18)</x:f>
        <x:v>0.19802595173293883</x:v>
      </x:c>
      <x:c r="J18" s="39" t="n">
        <x:f>F18/(E18+F18)</x:f>
        <x:v>0.8019740482670612</x:v>
      </x:c>
      <x:c r="K18" s="39" t="n">
        <x:f>(D18+F18)/SUM(D18:G18)</x:f>
        <x:v>0.5236921296296296</x:v>
      </x:c>
      <x:c r="L18" s="39" t="n">
        <x:f>(H18+J18)/2</x:f>
        <x:v>0.5165939605497156</x:v>
      </x:c>
      <x:c r="M18" s="39" t="n">
        <x:f>D18/(D18+E18)</x:f>
        <x:v>0.5262731325138458</x:v>
      </x:c>
      <x:c r="N18" s="39" t="n">
        <x:f>2*M18*H18/(M18+H18)</x:f>
        <x:v>0.321277192288028</x:v>
      </x:c>
      <x:c r="O18" s="39" t="n">
        <x:f>(D18+E18)/SUM(D18:G18)</x:f>
        <x:v>0.21420717592592592</x:v>
      </x:c>
      <x:c r="P18" s="39" t="n">
        <x:f>H18-I18</x:f>
        <x:v>0.03318792109943111</x:v>
      </x:c>
    </x:row>
    <x:row r="19">
      <x:c r="A19" s="36" t="n">
        <x:v>0.54</x:v>
      </x:c>
      <x:c r="B19" s="36" t="n">
        <x:f>A19-0.5</x:f>
        <x:v>0.040000000000000036</x:v>
      </x:c>
      <x:c r="C19" s="37" t="n">
        <x:f>'汇总'!$B$11</x:f>
        <x:v>0.5296329445271939</x:v>
      </x:c>
      <x:c r="D19" s="38" t="n">
        <x:v>110129</x:v>
      </x:c>
      <x:c r="E19" s="38" t="n">
        <x:v>96957</x:v>
      </x:c>
      <x:c r="F19" s="38" t="n">
        <x:v>522886</x:v>
      </x:c>
      <x:c r="G19" s="38" t="n">
        <x:v>479628</x:v>
      </x:c>
      <x:c r="H19" s="39" t="n">
        <x:f>D19/(D19+G19)</x:f>
        <x:v>0.18673623204133227</x:v>
      </x:c>
      <x:c r="I19" s="39" t="n">
        <x:f>E19/(E19+F19)</x:f>
        <x:v>0.15642186811821704</x:v>
      </x:c>
      <x:c r="J19" s="39" t="n">
        <x:f>F19/(E19+F19)</x:f>
        <x:v>0.843578131881783</x:v>
      </x:c>
      <x:c r="K19" s="39" t="n">
        <x:f>(D19+F19)/SUM(D19:G19)</x:f>
        <x:v>0.5233258928571428</x:v>
      </x:c>
      <x:c r="L19" s="39" t="n">
        <x:f>(H19+J19)/2</x:f>
        <x:v>0.5151571819615577</x:v>
      </x:c>
      <x:c r="M19" s="39" t="n">
        <x:f>D19/(D19+E19)</x:f>
        <x:v>0.5318032121920362</x:v>
      </x:c>
      <x:c r="N19" s="39" t="n">
        <x:f>2*M19*H19/(M19+H19)</x:f>
        <x:v>0.27641329596921854</x:v>
      </x:c>
      <x:c r="O19" s="39" t="n">
        <x:f>(D19+E19)/SUM(D19:G19)</x:f>
        <x:v>0.17120205026455027</x:v>
      </x:c>
      <x:c r="P19" s="39" t="n">
        <x:f>H19-I19</x:f>
        <x:v>0.030314363923115234</x:v>
      </x:c>
    </x:row>
    <x:row r="20">
      <x:c r="A20" s="36" t="n">
        <x:v>0.55</x:v>
      </x:c>
      <x:c r="B20" s="36" t="n">
        <x:f>A20-0.5</x:f>
        <x:v>0.050000000000000044</x:v>
      </x:c>
      <x:c r="C20" s="37" t="n">
        <x:f>'汇总'!$B$11</x:f>
        <x:v>0.5296329445271939</x:v>
      </x:c>
      <x:c r="D20" s="38" t="n">
        <x:v>88583</x:v>
      </x:c>
      <x:c r="E20" s="38" t="n">
        <x:v>75823</x:v>
      </x:c>
      <x:c r="F20" s="38" t="n">
        <x:v>544020</x:v>
      </x:c>
      <x:c r="G20" s="38" t="n">
        <x:v>501174</x:v>
      </x:c>
      <x:c r="H20" s="39" t="n">
        <x:f>D20/(D20+G20)</x:f>
        <x:v>0.15020254104656663</x:v>
      </x:c>
      <x:c r="I20" s="39" t="n">
        <x:f>E20/(E20+F20)</x:f>
        <x:v>0.12232613742512216</x:v>
      </x:c>
      <x:c r="J20" s="39" t="n">
        <x:f>F20/(E20+F20)</x:f>
        <x:v>0.8776738625748778</x:v>
      </x:c>
      <x:c r="K20" s="39" t="n">
        <x:f>(D20+F20)/SUM(D20:G20)</x:f>
        <x:v>0.5229852843915344</x:v>
      </x:c>
      <x:c r="L20" s="39" t="n">
        <x:f>(H20+J20)/2</x:f>
        <x:v>0.5139382018107223</x:v>
      </x:c>
      <x:c r="M20" s="39" t="n">
        <x:f>D20/(D20+E20)</x:f>
        <x:v>0.5388063695972166</x:v>
      </x:c>
      <x:c r="N20" s="39" t="n">
        <x:f>2*M20*H20/(M20+H20)</x:f>
        <x:v>0.23491738523369618</x:v>
      </x:c>
      <x:c r="O20" s="39" t="n">
        <x:f>(D20+E20)/SUM(D20:G20)</x:f>
        <x:v>0.13591765873015874</x:v>
      </x:c>
      <x:c r="P20" s="39" t="n">
        <x:f>H20-I20</x:f>
        <x:v>0.027876403621444473</x:v>
      </x:c>
    </x:row>
    <x:row r="21">
      <x:c r="A21" s="36" t="n">
        <x:v>0.56</x:v>
      </x:c>
      <x:c r="B21" s="36" t="n">
        <x:f>A21-0.5</x:f>
        <x:v>0.06000000000000005</x:v>
      </x:c>
      <x:c r="C21" s="37" t="n">
        <x:f>'汇总'!$B$11</x:f>
        <x:v>0.5296329445271939</x:v>
      </x:c>
      <x:c r="D21" s="38" t="n">
        <x:v>71288</x:v>
      </x:c>
      <x:c r="E21" s="38" t="n">
        <x:v>59148</x:v>
      </x:c>
      <x:c r="F21" s="38" t="n">
        <x:v>560695</x:v>
      </x:c>
      <x:c r="G21" s="38" t="n">
        <x:v>518469</x:v>
      </x:c>
      <x:c r="H21" s="39" t="n">
        <x:f>D21/(D21+G21)</x:f>
        <x:v>0.12087690353823694</x:v>
      </x:c>
      <x:c r="I21" s="39" t="n">
        <x:f>E21/(E21+F21)</x:f>
        <x:v>0.09542416386084863</x:v>
      </x:c>
      <x:c r="J21" s="39" t="n">
        <x:f>F21/(E21+F21)</x:f>
        <x:v>0.9045758361391514</x:v>
      </x:c>
      <x:c r="K21" s="39" t="n">
        <x:f>(D21+F21)/SUM(D21:G21)</x:f>
        <x:v>0.5224727182539682</x:v>
      </x:c>
      <x:c r="L21" s="39" t="n">
        <x:f>(H21+J21)/2</x:f>
        <x:v>0.5127263698386941</x:v>
      </x:c>
      <x:c r="M21" s="39" t="n">
        <x:f>D21/(D21+E21)</x:f>
        <x:v>0.5465362323284982</x:v>
      </x:c>
      <x:c r="N21" s="39" t="n">
        <x:f>2*M21*H21/(M21+H21)</x:f>
        <x:v>0.1979691554902644</x:v>
      </x:c>
      <x:c r="O21" s="39" t="n">
        <x:f>(D21+E21)/SUM(D21:G21)</x:f>
        <x:v>0.10783399470899471</x:v>
      </x:c>
      <x:c r="P21" s="39" t="n">
        <x:f>H21-I21</x:f>
        <x:v>0.0254527396773883</x:v>
      </x:c>
    </x:row>
    <x:row r="22">
      <x:c r="A22" s="36" t="n">
        <x:v>0.57</x:v>
      </x:c>
      <x:c r="B22" s="36" t="n">
        <x:f>A22-0.5</x:f>
        <x:v>0.06999999999999995</x:v>
      </x:c>
      <x:c r="C22" s="37" t="n">
        <x:f>'汇总'!$B$11</x:f>
        <x:v>0.5296329445271939</x:v>
      </x:c>
      <x:c r="D22" s="38" t="n">
        <x:v>57192</x:v>
      </x:c>
      <x:c r="E22" s="38" t="n">
        <x:v>45905</x:v>
      </x:c>
      <x:c r="F22" s="38" t="n">
        <x:v>573938</x:v>
      </x:c>
      <x:c r="G22" s="38" t="n">
        <x:v>532565</x:v>
      </x:c>
      <x:c r="H22" s="39" t="n">
        <x:f>D22/(D22+G22)</x:f>
        <x:v>0.09697553399111837</x:v>
      </x:c>
      <x:c r="I22" s="39" t="n">
        <x:f>E22/(E22+F22)</x:f>
        <x:v>0.07405907624995361</x:v>
      </x:c>
      <x:c r="J22" s="39" t="n">
        <x:f>F22/(E22+F22)</x:f>
        <x:v>0.9259409237500463</x:v>
      </x:c>
      <x:c r="K22" s="39" t="n">
        <x:f>(D22+F22)/SUM(D22:G22)</x:f>
        <x:v>0.5217675264550264</x:v>
      </x:c>
      <x:c r="L22" s="39" t="n">
        <x:f>(H22+J22)/2</x:f>
        <x:v>0.5114582288705823</x:v>
      </x:c>
      <x:c r="M22" s="39" t="n">
        <x:f>D22/(D22+E22)</x:f>
        <x:v>0.5547397111458141</x:v>
      </x:c>
      <x:c r="N22" s="39" t="n">
        <x:f>2*M22*H22/(M22+H22)</x:f>
        <x:v>0.165091058145006</x:v>
      </x:c>
      <x:c r="O22" s="39" t="n">
        <x:f>(D22+E22)/SUM(D22:G22)</x:f>
        <x:v>0.0852323082010582</x:v>
      </x:c>
      <x:c r="P22" s="39" t="n">
        <x:f>H22-I22</x:f>
        <x:v>0.022916457741164756</x:v>
      </x:c>
    </x:row>
    <x:row r="23">
      <x:c r="A23" s="36" t="n">
        <x:v>0.58</x:v>
      </x:c>
      <x:c r="B23" s="36" t="n">
        <x:f>A23-0.5</x:f>
        <x:v>0.07999999999999996</x:v>
      </x:c>
      <x:c r="C23" s="37" t="n">
        <x:f>'汇总'!$B$11</x:f>
        <x:v>0.5296329445271939</x:v>
      </x:c>
      <x:c r="D23" s="38" t="n">
        <x:v>45970</x:v>
      </x:c>
      <x:c r="E23" s="38" t="n">
        <x:v>35763</x:v>
      </x:c>
      <x:c r="F23" s="38" t="n">
        <x:v>584080</x:v>
      </x:c>
      <x:c r="G23" s="38" t="n">
        <x:v>543787</x:v>
      </x:c>
      <x:c r="H23" s="39" t="n">
        <x:f>D23/(D23+G23)</x:f>
        <x:v>0.07794735797964246</x:v>
      </x:c>
      <x:c r="I23" s="39" t="n">
        <x:f>E23/(E23+F23)</x:f>
        <x:v>0.05769686840054659</x:v>
      </x:c>
      <x:c r="J23" s="39" t="n">
        <x:f>F23/(E23+F23)</x:f>
        <x:v>0.9423031315994534</x:v>
      </x:c>
      <x:c r="K23" s="39" t="n">
        <x:f>(D23+F23)/SUM(D23:G23)</x:f>
        <x:v>0.5208746693121693</x:v>
      </x:c>
      <x:c r="L23" s="39" t="n">
        <x:f>(H23+J23)/2</x:f>
        <x:v>0.5101252447895479</x:v>
      </x:c>
      <x:c r="M23" s="39" t="n">
        <x:f>D23/(D23+E23)</x:f>
        <x:v>0.5624411192541569</x:v>
      </x:c>
      <x:c r="N23" s="39" t="n">
        <x:f>2*M23*H23/(M23+H23)</x:f>
        <x:v>0.13691938822618357</x:v>
      </x:c>
      <x:c r="O23" s="39" t="n">
        <x:f>(D23+E23)/SUM(D23:G23)</x:f>
        <x:v>0.06757027116402116</x:v>
      </x:c>
      <x:c r="P23" s="39" t="n">
        <x:f>H23-I23</x:f>
        <x:v>0.020250489579095872</x:v>
      </x:c>
    </x:row>
    <x:row r="24">
      <x:c r="A24" s="36" t="n">
        <x:v>0.59</x:v>
      </x:c>
      <x:c r="B24" s="36" t="n">
        <x:f>A24-0.5</x:f>
        <x:v>0.08999999999999997</x:v>
      </x:c>
      <x:c r="C24" s="37" t="n">
        <x:f>'汇总'!$B$11</x:f>
        <x:v>0.5296329445271939</x:v>
      </x:c>
      <x:c r="D24" s="38" t="n">
        <x:v>36847</x:v>
      </x:c>
      <x:c r="E24" s="38" t="n">
        <x:v>27878</x:v>
      </x:c>
      <x:c r="F24" s="38" t="n">
        <x:v>591965</x:v>
      </x:c>
      <x:c r="G24" s="38" t="n">
        <x:v>552910</x:v>
      </x:c>
      <x:c r="H24" s="39" t="n">
        <x:f>D24/(D24+G24)</x:f>
        <x:v>0.062478274950530474</x:v>
      </x:c>
      <x:c r="I24" s="39" t="n">
        <x:f>E24/(E24+F24)</x:f>
        <x:v>0.044975905188894605</x:v>
      </x:c>
      <x:c r="J24" s="39" t="n">
        <x:f>F24/(E24+F24)</x:f>
        <x:v>0.9550240948111054</x:v>
      </x:c>
      <x:c r="K24" s="39" t="n">
        <x:f>(D24+F24)/SUM(D24:G24)</x:f>
        <x:v>0.5198511904761904</x:v>
      </x:c>
      <x:c r="L24" s="39" t="n">
        <x:f>(H24+J24)/2</x:f>
        <x:v>0.5087511848808179</x:v>
      </x:c>
      <x:c r="M24" s="39" t="n">
        <x:f>D24/(D24+E24)</x:f>
        <x:v>0.569285438393202</x:v>
      </x:c>
      <x:c r="N24" s="39" t="n">
        <x:f>2*M24*H24/(M24+H24)</x:f>
        <x:v>0.11259897140028297</x:v>
      </x:c>
      <x:c r="O24" s="39" t="n">
        <x:f>(D24+E24)/SUM(D24:G24)</x:f>
        <x:v>0.0535094246031746</x:v>
      </x:c>
      <x:c r="P24" s="39" t="n">
        <x:f>H24-I24</x:f>
        <x:v>0.01750236976163587</x:v>
      </x:c>
    </x:row>
    <x:row r="25">
      <x:c r="A25" s="36" t="n">
        <x:v>0.6</x:v>
      </x:c>
      <x:c r="B25" s="36" t="n">
        <x:f>A25-0.5</x:f>
        <x:v>0.09999999999999998</x:v>
      </x:c>
      <x:c r="C25" s="37" t="n">
        <x:f>'汇总'!$B$11</x:f>
        <x:v>0.5296329445271939</x:v>
      </x:c>
      <x:c r="D25" s="38" t="n">
        <x:v>29222</x:v>
      </x:c>
      <x:c r="E25" s="38" t="n">
        <x:v>21462</x:v>
      </x:c>
      <x:c r="F25" s="38" t="n">
        <x:v>598381</x:v>
      </x:c>
      <x:c r="G25" s="38" t="n">
        <x:v>560535</x:v>
      </x:c>
      <x:c r="H25" s="39" t="n">
        <x:f>D25/(D25+G25)</x:f>
        <x:v>0.04954922111988497</x:v>
      </x:c>
      <x:c r="I25" s="39" t="n">
        <x:f>E25/(E25+F25)</x:f>
        <x:v>0.03462489694971146</x:v>
      </x:c>
      <x:c r="J25" s="39" t="n">
        <x:f>F25/(E25+F25)</x:f>
        <x:v>0.9653751030502885</x:v>
      </x:c>
      <x:c r="K25" s="39" t="n">
        <x:f>(D25+F25)/SUM(D25:G25)</x:f>
        <x:v>0.5188516865079366</x:v>
      </x:c>
      <x:c r="L25" s="39" t="n">
        <x:f>(H25+J25)/2</x:f>
        <x:v>0.5074621620850868</x:v>
      </x:c>
      <x:c r="M25" s="39" t="n">
        <x:f>D25/(D25+E25)</x:f>
        <x:v>0.5765527582669087</x:v>
      </x:c>
      <x:c r="N25" s="39" t="n">
        <x:f>2*M25*H25/(M25+H25)</x:f>
        <x:v>0.09125586900276528</x:v>
      </x:c>
      <x:c r="O25" s="39" t="n">
        <x:f>(D25+E25)/SUM(D25:G25)</x:f>
        <x:v>0.04190145502645503</x:v>
      </x:c>
      <x:c r="P25" s="39" t="n">
        <x:f>H25-I25</x:f>
        <x:v>0.01492432417017351</x:v>
      </x:c>
    </x:row>
  </x:sheetData>
  <x:mergeCells>
    <x:mergeCell ref="A1:P1"/>
    <x:mergeCell ref="A2:P2"/>
  </x:mergeCells>
  <x:conditionalFormatting sqref="A5:P25">
    <x:cfRule type="expression" dxfId="1" priority="1">
      <x:formula>$A5=0.5</x:formula>
    </x:cfRule>
  </x:conditionalFormatting>
  <x:conditionalFormatting sqref="L5:L25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0" customHeight="1">
      <x:c r="A1" s="40" t="str">
        <x:v>后30%测试段：全局阈值敏感性表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</x:row>
    <x:row r="2" ht="28" customHeight="1">
      <x:c r="A2" s="15" t="str">
        <x:v>阈值范围0.40–0.60，步长0.01；样本量518,400。AUC为整条ROC曲线面积，因此本表各阈值行的AUC相同。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4" ht="34" customHeight="1">
      <x:c r="A4" s="28" t="str">
        <x:v>概率阈值</x:v>
      </x:c>
      <x:c r="B4" s="29" t="str">
        <x:v>原始pred分界点</x:v>
      </x:c>
      <x:c r="C4" s="29" t="str">
        <x:v>AUC</x:v>
      </x:c>
      <x:c r="D4" s="29" t="str">
        <x:v>TP</x:v>
      </x:c>
      <x:c r="E4" s="29" t="str">
        <x:v>FP</x:v>
      </x:c>
      <x:c r="F4" s="29" t="str">
        <x:v>TN</x:v>
      </x:c>
      <x:c r="G4" s="29" t="str">
        <x:v>FN</x:v>
      </x:c>
      <x:c r="H4" s="29" t="str">
        <x:v>TPR/召回率</x:v>
      </x:c>
      <x:c r="I4" s="29" t="str">
        <x:v>FPR</x:v>
      </x:c>
      <x:c r="J4" s="29" t="str">
        <x:v>特异度</x:v>
      </x:c>
      <x:c r="K4" s="29" t="str">
        <x:v>Accuracy</x:v>
      </x:c>
      <x:c r="L4" s="29" t="str">
        <x:v>Balanced Accuracy</x:v>
      </x:c>
      <x:c r="M4" s="29" t="str">
        <x:v>Precision</x:v>
      </x:c>
      <x:c r="N4" s="29" t="str">
        <x:v>F1</x:v>
      </x:c>
      <x:c r="O4" s="29" t="str">
        <x:v>预测正类比例</x:v>
      </x:c>
      <x:c r="P4" s="30" t="str">
        <x:v>Youden J</x:v>
      </x:c>
    </x:row>
    <x:row r="5">
      <x:c r="A5" s="32" t="n">
        <x:v>0.4</x:v>
      </x:c>
      <x:c r="B5" s="32" t="n">
        <x:f>A5-0.5</x:f>
        <x:v>-0.09999999999999998</x:v>
      </x:c>
      <x:c r="C5" s="33" t="n">
        <x:f>'汇总'!$B$12</x:f>
        <x:v>0.5109400021497267</x:v>
      </x:c>
      <x:c r="D5" s="34" t="n">
        <x:v>252485</x:v>
      </x:c>
      <x:c r="E5" s="34" t="n">
        <x:v>252153</x:v>
      </x:c>
      <x:c r="F5" s="34" t="n">
        <x:v>7226</x:v>
      </x:c>
      <x:c r="G5" s="34" t="n">
        <x:v>6536</x:v>
      </x:c>
      <x:c r="H5" s="35" t="n">
        <x:f>D5/(D5+G5)</x:f>
        <x:v>0.9747665247219337</x:v>
      </x:c>
      <x:c r="I5" s="35" t="n">
        <x:f>E5/(E5+F5)</x:f>
        <x:v>0.9721411525219852</x:v>
      </x:c>
      <x:c r="J5" s="35" t="n">
        <x:f>F5/(E5+F5)</x:f>
        <x:v>0.027858847478014797</x:v>
      </x:c>
      <x:c r="K5" s="35" t="n">
        <x:f>(D5+F5)/SUM(D5:G5)</x:f>
        <x:v>0.5009857253086419</x:v>
      </x:c>
      <x:c r="L5" s="35" t="n">
        <x:f>(H5+J5)/2</x:f>
        <x:v>0.5013126860999743</x:v>
      </x:c>
      <x:c r="M5" s="35" t="n">
        <x:f>D5/(D5+E5)</x:f>
        <x:v>0.5003289486721174</x:v>
      </x:c>
      <x:c r="N5" s="35" t="n">
        <x:f>2*M5*H5/(M5+H5)</x:f>
        <x:v>0.6612506367370776</x:v>
      </x:c>
      <x:c r="O5" s="35" t="n">
        <x:f>(D5+E5)/SUM(D5:G5)</x:f>
        <x:v>0.9734529320987654</x:v>
      </x:c>
      <x:c r="P5" s="35" t="n">
        <x:f>H5-I5</x:f>
        <x:v>0.002625372199948517</x:v>
      </x:c>
    </x:row>
    <x:row r="6">
      <x:c r="A6" s="36" t="n">
        <x:v>0.41</x:v>
      </x:c>
      <x:c r="B6" s="36" t="n">
        <x:f>A6-0.5</x:f>
        <x:v>-0.09000000000000002</x:v>
      </x:c>
      <x:c r="C6" s="37" t="n">
        <x:f>'汇总'!$B$12</x:f>
        <x:v>0.5109400021497267</x:v>
      </x:c>
      <x:c r="D6" s="38" t="n">
        <x:v>248264</x:v>
      </x:c>
      <x:c r="E6" s="38" t="n">
        <x:v>247670</x:v>
      </x:c>
      <x:c r="F6" s="38" t="n">
        <x:v>11709</x:v>
      </x:c>
      <x:c r="G6" s="38" t="n">
        <x:v>10757</x:v>
      </x:c>
      <x:c r="H6" s="39" t="n">
        <x:f>D6/(D6+G6)</x:f>
        <x:v>0.9584705487199879</x:v>
      </x:c>
      <x:c r="I6" s="39" t="n">
        <x:f>E6/(E6+F6)</x:f>
        <x:v>0.954857563642392</x:v>
      </x:c>
      <x:c r="J6" s="39" t="n">
        <x:f>F6/(E6+F6)</x:f>
        <x:v>0.04514243635760798</x:v>
      </x:c>
      <x:c r="K6" s="39" t="n">
        <x:f>(D6+F6)/SUM(D6:G6)</x:f>
        <x:v>0.5014911265432099</x:v>
      </x:c>
      <x:c r="L6" s="39" t="n">
        <x:f>(H6+J6)/2</x:f>
        <x:v>0.5018064925387979</x:v>
      </x:c>
      <x:c r="M6" s="39" t="n">
        <x:f>D6/(D6+E6)</x:f>
        <x:v>0.5005988700109288</x:v>
      </x:c>
      <x:c r="N6" s="39" t="n">
        <x:f>2*M6*H6/(M6+H6)</x:f>
        <x:v>0.6576921803286289</x:v>
      </x:c>
      <x:c r="O6" s="39" t="n">
        <x:f>(D6+E6)/SUM(D6:G6)</x:f>
        <x:v>0.9566628086419753</x:v>
      </x:c>
      <x:c r="P6" s="39" t="n">
        <x:f>H6-I6</x:f>
        <x:v>0.003612985077595887</x:v>
      </x:c>
    </x:row>
    <x:row r="7">
      <x:c r="A7" s="36" t="n">
        <x:v>0.42</x:v>
      </x:c>
      <x:c r="B7" s="36" t="n">
        <x:f>A7-0.5</x:f>
        <x:v>-0.08000000000000002</x:v>
      </x:c>
      <x:c r="C7" s="37" t="n">
        <x:f>'汇总'!$B$12</x:f>
        <x:v>0.5109400021497267</x:v>
      </x:c>
      <x:c r="D7" s="38" t="n">
        <x:v>241977</x:v>
      </x:c>
      <x:c r="E7" s="38" t="n">
        <x:v>241176</x:v>
      </x:c>
      <x:c r="F7" s="38" t="n">
        <x:v>18203</x:v>
      </x:c>
      <x:c r="G7" s="38" t="n">
        <x:v>17044</x:v>
      </x:c>
      <x:c r="H7" s="39" t="n">
        <x:f>D7/(D7+G7)</x:f>
        <x:v>0.9341983854590941</x:v>
      </x:c>
      <x:c r="I7" s="39" t="n">
        <x:f>E7/(E7+F7)</x:f>
        <x:v>0.9298208413171459</x:v>
      </x:c>
      <x:c r="J7" s="39" t="n">
        <x:f>F7/(E7+F7)</x:f>
        <x:v>0.07017915868285404</x:v>
      </x:c>
      <x:c r="K7" s="39" t="n">
        <x:f>(D7+F7)/SUM(D7:G7)</x:f>
        <x:v>0.5018904320987654</x:v>
      </x:c>
      <x:c r="L7" s="39" t="n">
        <x:f>(H7+J7)/2</x:f>
        <x:v>0.502188772070974</x:v>
      </x:c>
      <x:c r="M7" s="39" t="n">
        <x:f>D7/(D7+E7)</x:f>
        <x:v>0.5008289299662839</x:v>
      </x:c>
      <x:c r="N7" s="39" t="n">
        <x:f>2*M7*H7/(M7+H7)</x:f>
        <x:v>0.6520761977649445</x:v>
      </x:c>
      <x:c r="O7" s="39" t="n">
        <x:f>(D7+E7)/SUM(D7:G7)</x:f>
        <x:v>0.9320081018518519</x:v>
      </x:c>
      <x:c r="P7" s="39" t="n">
        <x:f>H7-I7</x:f>
        <x:v>0.004377544141948131</x:v>
      </x:c>
    </x:row>
    <x:row r="8">
      <x:c r="A8" s="36" t="n">
        <x:v>0.43</x:v>
      </x:c>
      <x:c r="B8" s="36" t="n">
        <x:f>A8-0.5</x:f>
        <x:v>-0.07</x:v>
      </x:c>
      <x:c r="C8" s="37" t="n">
        <x:f>'汇总'!$B$12</x:f>
        <x:v>0.5109400021497267</x:v>
      </x:c>
      <x:c r="D8" s="38" t="n">
        <x:v>233371</x:v>
      </x:c>
      <x:c r="E8" s="38" t="n">
        <x:v>232027</x:v>
      </x:c>
      <x:c r="F8" s="38" t="n">
        <x:v>27352</x:v>
      </x:c>
      <x:c r="G8" s="38" t="n">
        <x:v>25650</x:v>
      </x:c>
      <x:c r="H8" s="39" t="n">
        <x:f>D8/(D8+G8)</x:f>
        <x:v>0.9009732801587516</x:v>
      </x:c>
      <x:c r="I8" s="39" t="n">
        <x:f>E8/(E8+F8)</x:f>
        <x:v>0.8945481322697674</x:v>
      </x:c>
      <x:c r="J8" s="39" t="n">
        <x:f>F8/(E8+F8)</x:f>
        <x:v>0.10545186773023259</x:v>
      </x:c>
      <x:c r="K8" s="39" t="n">
        <x:f>(D8+F8)/SUM(D8:G8)</x:f>
        <x:v>0.5029378858024691</x:v>
      </x:c>
      <x:c r="L8" s="39" t="n">
        <x:f>(H8+J8)/2</x:f>
        <x:v>0.503212573944492</x:v>
      </x:c>
      <x:c r="M8" s="39" t="n">
        <x:f>D8/(D8+E8)</x:f>
        <x:v>0.5014439254143765</x:v>
      </x:c>
      <x:c r="N8" s="39" t="n">
        <x:f>2*M8*H8/(M8+H8)</x:f>
        <x:v>0.6442983963700566</x:v>
      </x:c>
      <x:c r="O8" s="39" t="n">
        <x:f>(D8+E8)/SUM(D8:G8)</x:f>
        <x:v>0.897758487654321</x:v>
      </x:c>
      <x:c r="P8" s="39" t="n">
        <x:f>H8-I8</x:f>
        <x:v>0.006425147888984184</x:v>
      </x:c>
    </x:row>
    <x:row r="9">
      <x:c r="A9" s="36" t="n">
        <x:v>0.44</x:v>
      </x:c>
      <x:c r="B9" s="36" t="n">
        <x:f>A9-0.5</x:f>
        <x:v>-0.06</x:v>
      </x:c>
      <x:c r="C9" s="37" t="n">
        <x:f>'汇总'!$B$12</x:f>
        <x:v>0.5109400021497267</x:v>
      </x:c>
      <x:c r="D9" s="38" t="n">
        <x:v>221953</x:v>
      </x:c>
      <x:c r="E9" s="38" t="n">
        <x:v>220340</x:v>
      </x:c>
      <x:c r="F9" s="38" t="n">
        <x:v>39039</x:v>
      </x:c>
      <x:c r="G9" s="38" t="n">
        <x:v>37068</x:v>
      </x:c>
      <x:c r="H9" s="39" t="n">
        <x:f>D9/(D9+G9)</x:f>
        <x:v>0.856891912238776</x:v>
      </x:c>
      <x:c r="I9" s="39" t="n">
        <x:f>E9/(E9+F9)</x:f>
        <x:v>0.8494905138812318</x:v>
      </x:c>
      <x:c r="J9" s="39" t="n">
        <x:f>F9/(E9+F9)</x:f>
        <x:v>0.1505094861187683</x:v>
      </x:c>
      <x:c r="K9" s="39" t="n">
        <x:f>(D9+F9)/SUM(D9:G9)</x:f>
        <x:v>0.5034567901234568</x:v>
      </x:c>
      <x:c r="L9" s="39" t="n">
        <x:f>(H9+J9)/2</x:f>
        <x:v>0.5037006991787721</x:v>
      </x:c>
      <x:c r="M9" s="39" t="n">
        <x:f>D9/(D9+E9)</x:f>
        <x:v>0.5018234518746623</x:v>
      </x:c>
      <x:c r="N9" s="39" t="n">
        <x:f>2*M9*H9/(M9+H9)</x:f>
        <x:v>0.6329632660976396</x:v>
      </x:c>
      <x:c r="O9" s="39" t="n">
        <x:f>(D9+E9)/SUM(D9:G9)</x:f>
        <x:v>0.8531886574074075</x:v>
      </x:c>
      <x:c r="P9" s="39" t="n">
        <x:f>H9-I9</x:f>
        <x:v>0.0074013983575442754</x:v>
      </x:c>
    </x:row>
    <x:row r="10">
      <x:c r="A10" s="36" t="n">
        <x:v>0.45</x:v>
      </x:c>
      <x:c r="B10" s="36" t="n">
        <x:f>A10-0.5</x:f>
        <x:v>-0.04999999999999999</x:v>
      </x:c>
      <x:c r="C10" s="37" t="n">
        <x:f>'汇总'!$B$12</x:f>
        <x:v>0.5109400021497267</x:v>
      </x:c>
      <x:c r="D10" s="38" t="n">
        <x:v>207778</x:v>
      </x:c>
      <x:c r="E10" s="38" t="n">
        <x:v>205768</x:v>
      </x:c>
      <x:c r="F10" s="38" t="n">
        <x:v>53611</x:v>
      </x:c>
      <x:c r="G10" s="38" t="n">
        <x:v>51243</x:v>
      </x:c>
      <x:c r="H10" s="39" t="n">
        <x:f>D10/(D10+G10)</x:f>
        <x:v>0.8021666196949282</x:v>
      </x:c>
      <x:c r="I10" s="39" t="n">
        <x:f>E10/(E10+F10)</x:f>
        <x:v>0.7933101754575351</x:v>
      </x:c>
      <x:c r="J10" s="39" t="n">
        <x:f>F10/(E10+F10)</x:f>
        <x:v>0.2066898245424649</x:v>
      </x:c>
      <x:c r="K10" s="39" t="n">
        <x:f>(D10+F10)/SUM(D10:G10)</x:f>
        <x:v>0.5042226080246913</x:v>
      </x:c>
      <x:c r="L10" s="39" t="n">
        <x:f>(H10+J10)/2</x:f>
        <x:v>0.5044282221186965</x:v>
      </x:c>
      <x:c r="M10" s="39" t="n">
        <x:f>D10/(D10+E10)</x:f>
        <x:v>0.5024302012351709</x:v>
      </x:c>
      <x:c r="N10" s="39" t="n">
        <x:f>2*M10*H10/(M10+H10)</x:f>
        <x:v>0.6178655806782075</x:v>
      </x:c>
      <x:c r="O10" s="39" t="n">
        <x:f>(D10+E10)/SUM(D10:G10)</x:f>
        <x:v>0.7977353395061728</x:v>
      </x:c>
      <x:c r="P10" s="39" t="n">
        <x:f>H10-I10</x:f>
        <x:v>0.008856444237393069</x:v>
      </x:c>
    </x:row>
    <x:row r="11">
      <x:c r="A11" s="36" t="n">
        <x:v>0.46</x:v>
      </x:c>
      <x:c r="B11" s="36" t="n">
        <x:f>A11-0.5</x:f>
        <x:v>-0.03999999999999998</x:v>
      </x:c>
      <x:c r="C11" s="37" t="n">
        <x:f>'汇总'!$B$12</x:f>
        <x:v>0.5109400021497267</x:v>
      </x:c>
      <x:c r="D11" s="38" t="n">
        <x:v>190807</x:v>
      </x:c>
      <x:c r="E11" s="38" t="n">
        <x:v>188572</x:v>
      </x:c>
      <x:c r="F11" s="38" t="n">
        <x:v>70807</x:v>
      </x:c>
      <x:c r="G11" s="38" t="n">
        <x:v>68214</x:v>
      </x:c>
      <x:c r="H11" s="39" t="n">
        <x:f>D11/(D11+G11)</x:f>
        <x:v>0.7366468355847595</x:v>
      </x:c>
      <x:c r="I11" s="39" t="n">
        <x:f>E11/(E11+F11)</x:f>
        <x:v>0.7270133665408534</x:v>
      </x:c>
      <x:c r="J11" s="39" t="n">
        <x:f>F11/(E11+F11)</x:f>
        <x:v>0.27298663345914664</x:v>
      </x:c>
      <x:c r="K11" s="39" t="n">
        <x:f>(D11+F11)/SUM(D11:G11)</x:f>
        <x:v>0.5046566358024691</x:v>
      </x:c>
      <x:c r="L11" s="39" t="n">
        <x:f>(H11+J11)/2</x:f>
        <x:v>0.5048167345219531</x:v>
      </x:c>
      <x:c r="M11" s="39" t="n">
        <x:f>D11/(D11+E11)</x:f>
        <x:v>0.5029456032094555</x:v>
      </x:c>
      <x:c r="N11" s="39" t="n">
        <x:f>2*M11*H11/(M11+H11)</x:f>
        <x:v>0.5977662907268171</x:v>
      </x:c>
      <x:c r="O11" s="39" t="n">
        <x:f>(D11+E11)/SUM(D11:G11)</x:f>
        <x:v>0.731826774691358</x:v>
      </x:c>
      <x:c r="P11" s="39" t="n">
        <x:f>H11-I11</x:f>
        <x:v>0.009633469043906162</x:v>
      </x:c>
    </x:row>
    <x:row r="12">
      <x:c r="A12" s="36" t="n">
        <x:v>0.47</x:v>
      </x:c>
      <x:c r="B12" s="36" t="n">
        <x:f>A12-0.5</x:f>
        <x:v>-0.030000000000000027</x:v>
      </x:c>
      <x:c r="C12" s="37" t="n">
        <x:f>'汇总'!$B$12</x:f>
        <x:v>0.5109400021497267</x:v>
      </x:c>
      <x:c r="D12" s="38" t="n">
        <x:v>171660</x:v>
      </x:c>
      <x:c r="E12" s="38" t="n">
        <x:v>169446</x:v>
      </x:c>
      <x:c r="F12" s="38" t="n">
        <x:v>89933</x:v>
      </x:c>
      <x:c r="G12" s="38" t="n">
        <x:v>87361</x:v>
      </x:c>
      <x:c r="H12" s="39" t="n">
        <x:f>D12/(D12+G12)</x:f>
        <x:v>0.6627261882241208</x:v>
      </x:c>
      <x:c r="I12" s="39" t="n">
        <x:f>E12/(E12+F12)</x:f>
        <x:v>0.6532757085191939</x:v>
      </x:c>
      <x:c r="J12" s="39" t="n">
        <x:f>F12/(E12+F12)</x:f>
        <x:v>0.3467242914808061</x:v>
      </x:c>
      <x:c r="K12" s="39" t="n">
        <x:f>(D12+F12)/SUM(D12:G12)</x:f>
        <x:v>0.5046161265432099</x:v>
      </x:c>
      <x:c r="L12" s="39" t="n">
        <x:f>(H12+J12)/2</x:f>
        <x:v>0.5047252398524634</x:v>
      </x:c>
      <x:c r="M12" s="39" t="n">
        <x:f>D12/(D12+E12)</x:f>
        <x:v>0.5032453254999912</x:v>
      </x:c>
      <x:c r="N12" s="39" t="n">
        <x:f>2*M12*H12/(M12+H12)</x:f>
        <x:v>0.5720789099640576</x:v>
      </x:c>
      <x:c r="O12" s="39" t="n">
        <x:f>(D12+E12)/SUM(D12:G12)</x:f>
        <x:v>0.6579976851851852</x:v>
      </x:c>
      <x:c r="P12" s="39" t="n">
        <x:f>H12-I12</x:f>
        <x:v>0.00945047970492685</x:v>
      </x:c>
    </x:row>
    <x:row r="13">
      <x:c r="A13" s="36" t="n">
        <x:v>0.48</x:v>
      </x:c>
      <x:c r="B13" s="36" t="n">
        <x:f>A13-0.5</x:f>
        <x:v>-0.020000000000000018</x:v>
      </x:c>
      <x:c r="C13" s="37" t="n">
        <x:f>'汇总'!$B$12</x:f>
        <x:v>0.5109400021497267</x:v>
      </x:c>
      <x:c r="D13" s="38" t="n">
        <x:v>151120</x:v>
      </x:c>
      <x:c r="E13" s="38" t="n">
        <x:v>148679</x:v>
      </x:c>
      <x:c r="F13" s="38" t="n">
        <x:v>110700</x:v>
      </x:c>
      <x:c r="G13" s="38" t="n">
        <x:v>107901</x:v>
      </x:c>
      <x:c r="H13" s="39" t="n">
        <x:f>D13/(D13+G13)</x:f>
        <x:v>0.5834275985344818</x:v>
      </x:c>
      <x:c r="I13" s="39" t="n">
        <x:f>E13/(E13+F13)</x:f>
        <x:v>0.5732114010771882</x:v>
      </x:c>
      <x:c r="J13" s="39" t="n">
        <x:f>F13/(E13+F13)</x:f>
        <x:v>0.4267885989228118</x:v>
      </x:c>
      <x:c r="K13" s="39" t="n">
        <x:f>(D13+F13)/SUM(D13:G13)</x:f>
        <x:v>0.505054012345679</x:v>
      </x:c>
      <x:c r="L13" s="39" t="n">
        <x:f>(H13+J13)/2</x:f>
        <x:v>0.5051080987286468</x:v>
      </x:c>
      <x:c r="M13" s="39" t="n">
        <x:f>D13/(D13+E13)</x:f>
        <x:v>0.5040710609441659</x:v>
      </x:c>
      <x:c r="N13" s="39" t="n">
        <x:f>2*M13*H13/(M13+H13)</x:f>
        <x:v>0.5408539422354245</x:v>
      </x:c>
      <x:c r="O13" s="39" t="n">
        <x:f>(D13+E13)/SUM(D13:G13)</x:f>
        <x:v>0.5783159722222222</x:v>
      </x:c>
      <x:c r="P13" s="39" t="n">
        <x:f>H13-I13</x:f>
        <x:v>0.01021619745729363</x:v>
      </x:c>
    </x:row>
    <x:row r="14">
      <x:c r="A14" s="36" t="n">
        <x:v>0.49</x:v>
      </x:c>
      <x:c r="B14" s="36" t="n">
        <x:f>A14-0.5</x:f>
        <x:v>-0.010000000000000009</x:v>
      </x:c>
      <x:c r="C14" s="37" t="n">
        <x:f>'汇总'!$B$12</x:f>
        <x:v>0.5109400021497267</x:v>
      </x:c>
      <x:c r="D14" s="38" t="n">
        <x:v>130722</x:v>
      </x:c>
      <x:c r="E14" s="38" t="n">
        <x:v>127736</x:v>
      </x:c>
      <x:c r="F14" s="38" t="n">
        <x:v>131643</x:v>
      </x:c>
      <x:c r="G14" s="38" t="n">
        <x:v>128299</x:v>
      </x:c>
      <x:c r="H14" s="39" t="n">
        <x:f>D14/(D14+G14)</x:f>
        <x:v>0.5046772269429892</x:v>
      </x:c>
      <x:c r="I14" s="39" t="n">
        <x:f>E14/(E14+F14)</x:f>
        <x:v>0.49246854988260425</x:v>
      </x:c>
      <x:c r="J14" s="39" t="n">
        <x:f>F14/(E14+F14)</x:f>
        <x:v>0.5075314501173958</x:v>
      </x:c>
      <x:c r="K14" s="39" t="n">
        <x:f>(D14+F14)/SUM(D14:G14)</x:f>
        <x:v>0.506105324074074</x:v>
      </x:c>
      <x:c r="L14" s="39" t="n">
        <x:f>(H14+J14)/2</x:f>
        <x:v>0.5061043385301924</x:v>
      </x:c>
      <x:c r="M14" s="39" t="n">
        <x:f>D14/(D14+E14)</x:f>
        <x:v>0.5057765671791935</x:v>
      </x:c>
      <x:c r="N14" s="39" t="n">
        <x:f>2*M14*H14/(M14+H14)</x:f>
        <x:v>0.5052262990382218</x:v>
      </x:c>
      <x:c r="O14" s="39" t="n">
        <x:f>(D14+E14)/SUM(D14:G14)</x:f>
        <x:v>0.4985686728395062</x:v>
      </x:c>
      <x:c r="P14" s="39" t="n">
        <x:f>H14-I14</x:f>
        <x:v>0.012208677060384976</x:v>
      </x:c>
    </x:row>
    <x:row r="15">
      <x:c r="A15" s="36" t="n">
        <x:v>0.5</x:v>
      </x:c>
      <x:c r="B15" s="36" t="n">
        <x:f>A15-0.5</x:f>
        <x:v>0</x:v>
      </x:c>
      <x:c r="C15" s="37" t="n">
        <x:f>'汇总'!$B$12</x:f>
        <x:v>0.5109400021497267</x:v>
      </x:c>
      <x:c r="D15" s="38" t="n">
        <x:v>110822</x:v>
      </x:c>
      <x:c r="E15" s="38" t="n">
        <x:v>107431</x:v>
      </x:c>
      <x:c r="F15" s="38" t="n">
        <x:v>151948</x:v>
      </x:c>
      <x:c r="G15" s="38" t="n">
        <x:v>148199</x:v>
      </x:c>
      <x:c r="H15" s="39" t="n">
        <x:f>D15/(D15+G15)</x:f>
        <x:v>0.4278494793858413</x:v>
      </x:c>
      <x:c r="I15" s="39" t="n">
        <x:f>E15/(E15+F15)</x:f>
        <x:v>0.41418541979111645</x:v>
      </x:c>
      <x:c r="J15" s="39" t="n">
        <x:f>F15/(E15+F15)</x:f>
        <x:v>0.5858145802088836</x:v>
      </x:c>
      <x:c r="K15" s="39" t="n">
        <x:f>(D15+F15)/SUM(D15:G15)</x:f>
        <x:v>0.5068865740740741</x:v>
      </x:c>
      <x:c r="L15" s="39" t="n">
        <x:f>(H15+J15)/2</x:f>
        <x:v>0.5068320297973624</x:v>
      </x:c>
      <x:c r="M15" s="39" t="n">
        <x:f>D15/(D15+E15)</x:f>
        <x:v>0.5077685071911955</x:v>
      </x:c>
      <x:c r="N15" s="39" t="n">
        <x:f>2*M15*H15/(M15+H15)</x:f>
        <x:v>0.4643957139923817</x:v>
      </x:c>
      <x:c r="O15" s="39" t="n">
        <x:f>(D15+E15)/SUM(D15:G15)</x:f>
        <x:v>0.4210127314814815</x:v>
      </x:c>
      <x:c r="P15" s="39" t="n">
        <x:f>H15-I15</x:f>
        <x:v>0.013664059594724831</x:v>
      </x:c>
    </x:row>
    <x:row r="16">
      <x:c r="A16" s="36" t="n">
        <x:v>0.51</x:v>
      </x:c>
      <x:c r="B16" s="36" t="n">
        <x:f>A16-0.5</x:f>
        <x:v>0.010000000000000009</x:v>
      </x:c>
      <x:c r="C16" s="37" t="n">
        <x:f>'汇总'!$B$12</x:f>
        <x:v>0.5109400021497267</x:v>
      </x:c>
      <x:c r="D16" s="38" t="n">
        <x:v>92319</x:v>
      </x:c>
      <x:c r="E16" s="38" t="n">
        <x:v>88306</x:v>
      </x:c>
      <x:c r="F16" s="38" t="n">
        <x:v>171073</x:v>
      </x:c>
      <x:c r="G16" s="38" t="n">
        <x:v>166702</x:v>
      </x:c>
      <x:c r="H16" s="39" t="n">
        <x:f>D16/(D16+G16)</x:f>
        <x:v>0.35641511692102185</x:v>
      </x:c>
      <x:c r="I16" s="39" t="n">
        <x:f>E16/(E16+F16)</x:f>
        <x:v>0.3404516171316876</x:v>
      </x:c>
      <x:c r="J16" s="39" t="n">
        <x:f>F16/(E16+F16)</x:f>
        <x:v>0.6595483828683124</x:v>
      </x:c>
      <x:c r="K16" s="39" t="n">
        <x:f>(D16+F16)/SUM(D16:G16)</x:f>
        <x:v>0.5080864197530864</x:v>
      </x:c>
      <x:c r="L16" s="39" t="n">
        <x:f>(H16+J16)/2</x:f>
        <x:v>0.5079817498946672</x:v>
      </x:c>
      <x:c r="M16" s="39" t="n">
        <x:f>D16/(D16+E16)</x:f>
        <x:v>0.5111086505190311</x:v>
      </x:c>
      <x:c r="N16" s="39" t="n">
        <x:f>2*M16*H16/(M16+H16)</x:f>
        <x:v>0.419969702897331</x:v>
      </x:c>
      <x:c r="O16" s="39" t="n">
        <x:f>(D16+E16)/SUM(D16:G16)</x:f>
        <x:v>0.3484278549382716</x:v>
      </x:c>
      <x:c r="P16" s="39" t="n">
        <x:f>H16-I16</x:f>
        <x:v>0.015963499789334257</x:v>
      </x:c>
    </x:row>
    <x:row r="17">
      <x:c r="A17" s="36" t="n">
        <x:v>0.52</x:v>
      </x:c>
      <x:c r="B17" s="36" t="n">
        <x:f>A17-0.5</x:f>
        <x:v>0.020000000000000018</x:v>
      </x:c>
      <x:c r="C17" s="37" t="n">
        <x:f>'汇总'!$B$12</x:f>
        <x:v>0.5109400021497267</x:v>
      </x:c>
      <x:c r="D17" s="38" t="n">
        <x:v>75792</x:v>
      </x:c>
      <x:c r="E17" s="38" t="n">
        <x:v>71648</x:v>
      </x:c>
      <x:c r="F17" s="38" t="n">
        <x:v>187731</x:v>
      </x:c>
      <x:c r="G17" s="38" t="n">
        <x:v>183229</x:v>
      </x:c>
      <x:c r="H17" s="39" t="n">
        <x:f>D17/(D17+G17)</x:f>
        <x:v>0.29260947954026895</x:v>
      </x:c>
      <x:c r="I17" s="39" t="n">
        <x:f>E17/(E17+F17)</x:f>
        <x:v>0.2762289930950462</x:v>
      </x:c>
      <x:c r="J17" s="39" t="n">
        <x:f>F17/(E17+F17)</x:f>
        <x:v>0.7237710069049538</x:v>
      </x:c>
      <x:c r="K17" s="39" t="n">
        <x:f>(D17+F17)/SUM(D17:G17)</x:f>
        <x:v>0.5083391203703703</x:v>
      </x:c>
      <x:c r="L17" s="39" t="n">
        <x:f>(H17+J17)/2</x:f>
        <x:v>0.5081902432226113</x:v>
      </x:c>
      <x:c r="M17" s="39" t="n">
        <x:f>D17/(D17+E17)</x:f>
        <x:v>0.5140531741725448</x:v>
      </x:c>
      <x:c r="N17" s="39" t="n">
        <x:f>2*M17*H17/(M17+H17)</x:f>
        <x:v>0.37293614885560983</x:v>
      </x:c>
      <x:c r="O17" s="39" t="n">
        <x:f>(D17+E17)/SUM(D17:G17)</x:f>
        <x:v>0.2844135802469136</x:v>
      </x:c>
      <x:c r="P17" s="39" t="n">
        <x:f>H17-I17</x:f>
        <x:v>0.01638048644522272</x:v>
      </x:c>
    </x:row>
    <x:row r="18">
      <x:c r="A18" s="36" t="n">
        <x:v>0.53</x:v>
      </x:c>
      <x:c r="B18" s="36" t="n">
        <x:f>A18-0.5</x:f>
        <x:v>0.030000000000000027</x:v>
      </x:c>
      <x:c r="C18" s="37" t="n">
        <x:f>'汇总'!$B$12</x:f>
        <x:v>0.5109400021497267</x:v>
      </x:c>
      <x:c r="D18" s="38" t="n">
        <x:v>61671</x:v>
      </x:c>
      <x:c r="E18" s="38" t="n">
        <x:v>57611</x:v>
      </x:c>
      <x:c r="F18" s="38" t="n">
        <x:v>201768</x:v>
      </x:c>
      <x:c r="G18" s="38" t="n">
        <x:v>197350</x:v>
      </x:c>
      <x:c r="H18" s="39" t="n">
        <x:f>D18/(D18+G18)</x:f>
        <x:v>0.2380926643013501</x:v>
      </x:c>
      <x:c r="I18" s="39" t="n">
        <x:f>E18/(E18+F18)</x:f>
        <x:v>0.2221112734646984</x:v>
      </x:c>
      <x:c r="J18" s="39" t="n">
        <x:f>F18/(E18+F18)</x:f>
        <x:v>0.7778887265353016</x:v>
      </x:c>
      <x:c r="K18" s="39" t="n">
        <x:f>(D18+F18)/SUM(D18:G18)</x:f>
        <x:v>0.5081770833333333</x:v>
      </x:c>
      <x:c r="L18" s="39" t="n">
        <x:f>(H18+J18)/2</x:f>
        <x:v>0.5079906954183259</x:v>
      </x:c>
      <x:c r="M18" s="39" t="n">
        <x:f>D18/(D18+E18)</x:f>
        <x:v>0.5170184939890344</x:v>
      </x:c>
      <x:c r="N18" s="39" t="n">
        <x:f>2*M18*H18/(M18+H18)</x:f>
        <x:v>0.3260402375873308</x:v>
      </x:c>
      <x:c r="O18" s="39" t="n">
        <x:f>(D18+E18)/SUM(D18:G18)</x:f>
        <x:v>0.23009645061728395</x:v>
      </x:c>
      <x:c r="P18" s="39" t="n">
        <x:f>H18-I18</x:f>
        <x:v>0.015981390836651704</x:v>
      </x:c>
    </x:row>
    <x:row r="19">
      <x:c r="A19" s="36" t="n">
        <x:v>0.54</x:v>
      </x:c>
      <x:c r="B19" s="36" t="n">
        <x:f>A19-0.5</x:f>
        <x:v>0.040000000000000036</x:v>
      </x:c>
      <x:c r="C19" s="37" t="n">
        <x:f>'汇总'!$B$12</x:f>
        <x:v>0.5109400021497267</x:v>
      </x:c>
      <x:c r="D19" s="38" t="n">
        <x:v>49695</x:v>
      </x:c>
      <x:c r="E19" s="38" t="n">
        <x:v>45832</x:v>
      </x:c>
      <x:c r="F19" s="38" t="n">
        <x:v>213547</x:v>
      </x:c>
      <x:c r="G19" s="38" t="n">
        <x:v>209326</x:v>
      </x:c>
      <x:c r="H19" s="39" t="n">
        <x:f>D19/(D19+G19)</x:f>
        <x:v>0.19185703089710873</x:v>
      </x:c>
      <x:c r="I19" s="39" t="n">
        <x:f>E19/(E19+F19)</x:f>
        <x:v>0.17669896175095132</x:v>
      </x:c>
      <x:c r="J19" s="39" t="n">
        <x:f>F19/(E19+F19)</x:f>
        <x:v>0.8233010382490487</x:v>
      </x:c>
      <x:c r="K19" s="39" t="n">
        <x:f>(D19+F19)/SUM(D19:G19)</x:f>
        <x:v>0.5077970679012346</x:v>
      </x:c>
      <x:c r="L19" s="39" t="n">
        <x:f>(H19+J19)/2</x:f>
        <x:v>0.5075790345730787</x:v>
      </x:c>
      <x:c r="M19" s="39" t="n">
        <x:f>D19/(D19+E19)</x:f>
        <x:v>0.5202194144063982</x:v>
      </x:c>
      <x:c r="N19" s="39" t="n">
        <x:f>2*M19*H19/(M19+H19)</x:f>
        <x:v>0.2803287566140551</x:v>
      </x:c>
      <x:c r="O19" s="39" t="n">
        <x:f>(D19+E19)/SUM(D19:G19)</x:f>
        <x:v>0.18427276234567902</x:v>
      </x:c>
      <x:c r="P19" s="39" t="n">
        <x:f>H19-I19</x:f>
        <x:v>0.015158069146157416</x:v>
      </x:c>
    </x:row>
    <x:row r="20">
      <x:c r="A20" s="36" t="n">
        <x:v>0.55</x:v>
      </x:c>
      <x:c r="B20" s="36" t="n">
        <x:f>A20-0.5</x:f>
        <x:v>0.050000000000000044</x:v>
      </x:c>
      <x:c r="C20" s="37" t="n">
        <x:f>'汇总'!$B$12</x:f>
        <x:v>0.5109400021497267</x:v>
      </x:c>
      <x:c r="D20" s="38" t="n">
        <x:v>39819</x:v>
      </x:c>
      <x:c r="E20" s="38" t="n">
        <x:v>36348</x:v>
      </x:c>
      <x:c r="F20" s="38" t="n">
        <x:v>223031</x:v>
      </x:c>
      <x:c r="G20" s="38" t="n">
        <x:v>219202</x:v>
      </x:c>
      <x:c r="H20" s="39" t="n">
        <x:f>D20/(D20+G20)</x:f>
        <x:v>0.15372884824010408</x:v>
      </x:c>
      <x:c r="I20" s="39" t="n">
        <x:f>E20/(E20+F20)</x:f>
        <x:v>0.1401347063563357</x:v>
      </x:c>
      <x:c r="J20" s="39" t="n">
        <x:f>F20/(E20+F20)</x:f>
        <x:v>0.8598652936436643</x:v>
      </x:c>
      <x:c r="K20" s="39" t="n">
        <x:f>(D20+F20)/SUM(D20:G20)</x:f>
        <x:v>0.5070408950617284</x:v>
      </x:c>
      <x:c r="L20" s="39" t="n">
        <x:f>(H20+J20)/2</x:f>
        <x:v>0.5067970709418842</x:v>
      </x:c>
      <x:c r="M20" s="39" t="n">
        <x:f>D20/(D20+E20)</x:f>
        <x:v>0.5227854582693292</x:v>
      </x:c>
      <x:c r="N20" s="39" t="n">
        <x:f>2*M20*H20/(M20+H20)</x:f>
        <x:v>0.23759203790111819</x:v>
      </x:c>
      <x:c r="O20" s="39" t="n">
        <x:f>(D20+E20)/SUM(D20:G20)</x:f>
        <x:v>0.14692708333333335</x:v>
      </x:c>
      <x:c r="P20" s="39" t="n">
        <x:f>H20-I20</x:f>
        <x:v>0.013594141883768368</x:v>
      </x:c>
    </x:row>
    <x:row r="21">
      <x:c r="A21" s="36" t="n">
        <x:v>0.56</x:v>
      </x:c>
      <x:c r="B21" s="36" t="n">
        <x:f>A21-0.5</x:f>
        <x:v>0.06000000000000005</x:v>
      </x:c>
      <x:c r="C21" s="37" t="n">
        <x:f>'汇总'!$B$12</x:f>
        <x:v>0.5109400021497267</x:v>
      </x:c>
      <x:c r="D21" s="38" t="n">
        <x:v>31619</x:v>
      </x:c>
      <x:c r="E21" s="38" t="n">
        <x:v>28460</x:v>
      </x:c>
      <x:c r="F21" s="38" t="n">
        <x:v>230919</x:v>
      </x:c>
      <x:c r="G21" s="38" t="n">
        <x:v>227402</x:v>
      </x:c>
      <x:c r="H21" s="39" t="n">
        <x:f>D21/(D21+G21)</x:f>
        <x:v>0.12207118341756074</x:v>
      </x:c>
      <x:c r="I21" s="39" t="n">
        <x:f>E21/(E21+F21)</x:f>
        <x:v>0.10972360908169126</x:v>
      </x:c>
      <x:c r="J21" s="39" t="n">
        <x:f>F21/(E21+F21)</x:f>
        <x:v>0.8902763909183087</x:v>
      </x:c>
      <x:c r="K21" s="39" t="n">
        <x:f>(D21+F21)/SUM(D21:G21)</x:f>
        <x:v>0.5064390432098765</x:v>
      </x:c>
      <x:c r="L21" s="39" t="n">
        <x:f>(H21+J21)/2</x:f>
        <x:v>0.5061737871679347</x:v>
      </x:c>
      <x:c r="M21" s="39" t="n">
        <x:f>D21/(D21+E21)</x:f>
        <x:v>0.5262903843273024</x:v>
      </x:c>
      <x:c r="N21" s="39" t="n">
        <x:f>2*M21*H21/(M21+H21)</x:f>
        <x:v>0.19817612033845192</x:v>
      </x:c>
      <x:c r="O21" s="39" t="n">
        <x:f>(D21+E21)/SUM(D21:G21)</x:f>
        <x:v>0.11589313271604938</x:v>
      </x:c>
      <x:c r="P21" s="39" t="n">
        <x:f>H21-I21</x:f>
        <x:v>0.012347574335869471</x:v>
      </x:c>
    </x:row>
    <x:row r="22">
      <x:c r="A22" s="36" t="n">
        <x:v>0.57</x:v>
      </x:c>
      <x:c r="B22" s="36" t="n">
        <x:f>A22-0.5</x:f>
        <x:v>0.06999999999999995</x:v>
      </x:c>
      <x:c r="C22" s="37" t="n">
        <x:f>'汇总'!$B$12</x:f>
        <x:v>0.5109400021497267</x:v>
      </x:c>
      <x:c r="D22" s="38" t="n">
        <x:v>25091</x:v>
      </x:c>
      <x:c r="E22" s="38" t="n">
        <x:v>21935</x:v>
      </x:c>
      <x:c r="F22" s="38" t="n">
        <x:v>237444</x:v>
      </x:c>
      <x:c r="G22" s="38" t="n">
        <x:v>233930</x:v>
      </x:c>
      <x:c r="H22" s="39" t="n">
        <x:f>D22/(D22+G22)</x:f>
        <x:v>0.09686859366615062</x:v>
      </x:c>
      <x:c r="I22" s="39" t="n">
        <x:f>E22/(E22+F22)</x:f>
        <x:v>0.08456737052729789</x:v>
      </x:c>
      <x:c r="J22" s="39" t="n">
        <x:f>F22/(E22+F22)</x:f>
        <x:v>0.9154326294727021</x:v>
      </x:c>
      <x:c r="K22" s="39" t="n">
        <x:f>(D22+F22)/SUM(D22:G22)</x:f>
        <x:v>0.5064332561728395</x:v>
      </x:c>
      <x:c r="L22" s="39" t="n">
        <x:f>(H22+J22)/2</x:f>
        <x:v>0.5061506115694263</x:v>
      </x:c>
      <x:c r="M22" s="39" t="n">
        <x:f>D22/(D22+E22)</x:f>
        <x:v>0.5335559052439076</x:v>
      </x:c>
      <x:c r="N22" s="39" t="n">
        <x:f>2*M22*H22/(M22+H22)</x:f>
        <x:v>0.163968279381925</x:v>
      </x:c>
      <x:c r="O22" s="39" t="n">
        <x:f>(D22+E22)/SUM(D22:G22)</x:f>
        <x:v>0.09071373456790123</x:v>
      </x:c>
      <x:c r="P22" s="39" t="n">
        <x:f>H22-I22</x:f>
        <x:v>0.012301223138852735</x:v>
      </x:c>
    </x:row>
    <x:row r="23">
      <x:c r="A23" s="36" t="n">
        <x:v>0.58</x:v>
      </x:c>
      <x:c r="B23" s="36" t="n">
        <x:f>A23-0.5</x:f>
        <x:v>0.07999999999999996</x:v>
      </x:c>
      <x:c r="C23" s="37" t="n">
        <x:f>'汇总'!$B$12</x:f>
        <x:v>0.5109400021497267</x:v>
      </x:c>
      <x:c r="D23" s="38" t="n">
        <x:v>19785</x:v>
      </x:c>
      <x:c r="E23" s="38" t="n">
        <x:v>16818</x:v>
      </x:c>
      <x:c r="F23" s="38" t="n">
        <x:v>242561</x:v>
      </x:c>
      <x:c r="G23" s="38" t="n">
        <x:v>239236</x:v>
      </x:c>
      <x:c r="H23" s="39" t="n">
        <x:f>D23/(D23+G23)</x:f>
        <x:v>0.07638376811146587</x:v>
      </x:c>
      <x:c r="I23" s="39" t="n">
        <x:f>E23/(E23+F23)</x:f>
        <x:v>0.0648394819935307</x:v>
      </x:c>
      <x:c r="J23" s="39" t="n">
        <x:f>F23/(E23+F23)</x:f>
        <x:v>0.9351605180064693</x:v>
      </x:c>
      <x:c r="K23" s="39" t="n">
        <x:f>(D23+F23)/SUM(D23:G23)</x:f>
        <x:v>0.5060686728395062</x:v>
      </x:c>
      <x:c r="L23" s="39" t="n">
        <x:f>(H23+J23)/2</x:f>
        <x:v>0.5057721430589676</x:v>
      </x:c>
      <x:c r="M23" s="39" t="n">
        <x:f>D23/(D23+E23)</x:f>
        <x:v>0.5405294647979674</x:v>
      </x:c>
      <x:c r="N23" s="39" t="n">
        <x:f>2*M23*H23/(M23+H23)</x:f>
        <x:v>0.1338524612345412</x:v>
      </x:c>
      <x:c r="O23" s="39" t="n">
        <x:f>(D23+E23)/SUM(D23:G23)</x:f>
        <x:v>0.0706076388888889</x:v>
      </x:c>
      <x:c r="P23" s="39" t="n">
        <x:f>H23-I23</x:f>
        <x:v>0.011544286117935162</x:v>
      </x:c>
    </x:row>
    <x:row r="24">
      <x:c r="A24" s="36" t="n">
        <x:v>0.59</x:v>
      </x:c>
      <x:c r="B24" s="36" t="n">
        <x:f>A24-0.5</x:f>
        <x:v>0.08999999999999997</x:v>
      </x:c>
      <x:c r="C24" s="37" t="n">
        <x:f>'汇总'!$B$12</x:f>
        <x:v>0.5109400021497267</x:v>
      </x:c>
      <x:c r="D24" s="38" t="n">
        <x:v>15547</x:v>
      </x:c>
      <x:c r="E24" s="38" t="n">
        <x:v>12728</x:v>
      </x:c>
      <x:c r="F24" s="38" t="n">
        <x:v>246651</x:v>
      </x:c>
      <x:c r="G24" s="38" t="n">
        <x:v>243474</x:v>
      </x:c>
      <x:c r="H24" s="39" t="n">
        <x:f>D24/(D24+G24)</x:f>
        <x:v>0.06002216036537578</x:v>
      </x:c>
      <x:c r="I24" s="39" t="n">
        <x:f>E24/(E24+F24)</x:f>
        <x:v>0.04907105047054696</x:v>
      </x:c>
      <x:c r="J24" s="39" t="n">
        <x:f>F24/(E24+F24)</x:f>
        <x:v>0.9509289495294531</x:v>
      </x:c>
      <x:c r="K24" s="39" t="n">
        <x:f>(D24+F24)/SUM(D24:G24)</x:f>
        <x:v>0.5057831790123457</x:v>
      </x:c>
      <x:c r="L24" s="39" t="n">
        <x:f>(H24+J24)/2</x:f>
        <x:v>0.5054755549474145</x:v>
      </x:c>
      <x:c r="M24" s="39" t="n">
        <x:f>D24/(D24+E24)</x:f>
        <x:v>0.5498496905393457</x:v>
      </x:c>
      <x:c r="N24" s="39" t="n">
        <x:f>2*M24*H24/(M24+H24)</x:f>
        <x:v>0.1082298396079305</x:v>
      </x:c>
      <x:c r="O24" s="39" t="n">
        <x:f>(D24+E24)/SUM(D24:G24)</x:f>
        <x:v>0.05454282407407408</x:v>
      </x:c>
      <x:c r="P24" s="39" t="n">
        <x:f>H24-I24</x:f>
        <x:v>0.010951109894828823</x:v>
      </x:c>
    </x:row>
    <x:row r="25">
      <x:c r="A25" s="36" t="n">
        <x:v>0.6</x:v>
      </x:c>
      <x:c r="B25" s="36" t="n">
        <x:f>A25-0.5</x:f>
        <x:v>0.09999999999999998</x:v>
      </x:c>
      <x:c r="C25" s="37" t="n">
        <x:f>'汇总'!$B$12</x:f>
        <x:v>0.5109400021497267</x:v>
      </x:c>
      <x:c r="D25" s="38" t="n">
        <x:v>12135</x:v>
      </x:c>
      <x:c r="E25" s="38" t="n">
        <x:v>9416</x:v>
      </x:c>
      <x:c r="F25" s="38" t="n">
        <x:v>249963</x:v>
      </x:c>
      <x:c r="G25" s="38" t="n">
        <x:v>246886</x:v>
      </x:c>
      <x:c r="H25" s="39" t="n">
        <x:f>D25/(D25+G25)</x:f>
        <x:v>0.04684948324653213</x:v>
      </x:c>
      <x:c r="I25" s="39" t="n">
        <x:f>E25/(E25+F25)</x:f>
        <x:v>0.03630209076293763</x:v>
      </x:c>
      <x:c r="J25" s="39" t="n">
        <x:f>F25/(E25+F25)</x:f>
        <x:v>0.9636979092370623</x:v>
      </x:c>
      <x:c r="K25" s="39" t="n">
        <x:f>(D25+F25)/SUM(D25:G25)</x:f>
        <x:v>0.5055902777777778</x:v>
      </x:c>
      <x:c r="L25" s="39" t="n">
        <x:f>(H25+J25)/2</x:f>
        <x:v>0.5052736962417972</x:v>
      </x:c>
      <x:c r="M25" s="39" t="n">
        <x:f>D25/(D25+E25)</x:f>
        <x:v>0.5630829195860981</x:v>
      </x:c>
      <x:c r="N25" s="39" t="n">
        <x:f>2*M25*H25/(M25+H25)</x:f>
        <x:v>0.08650186048500919</x:v>
      </x:c>
      <x:c r="O25" s="39" t="n">
        <x:f>(D25+E25)/SUM(D25:G25)</x:f>
        <x:v>0.0415721450617284</x:v>
      </x:c>
      <x:c r="P25" s="39" t="n">
        <x:f>H25-I25</x:f>
        <x:v>0.0105473924835945</x:v>
      </x:c>
    </x:row>
  </x:sheetData>
  <x:mergeCells>
    <x:mergeCell ref="A1:P1"/>
    <x:mergeCell ref="A2:P2"/>
  </x:mergeCells>
  <x:conditionalFormatting sqref="A5:P25">
    <x:cfRule type="expression" dxfId="2" priority="1">
      <x:formula>$A5=0.5</x:formula>
    </x:cfRule>
  </x:conditionalFormatting>
  <x:conditionalFormatting sqref="L5:L25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9" t="str">
        <x:v>FPR</x:v>
      </x:c>
      <x:c r="B1" s="9" t="str">
        <x:v>全样本TPR</x:v>
      </x:c>
      <x:c r="C1" s="9" t="str">
        <x:v>验证段TPR</x:v>
      </x:c>
      <x:c r="D1" s="9" t="str">
        <x:v>测试段TPR</x:v>
      </x:c>
      <x:c r="E1" s="9" t="str">
        <x:v>随机基准TPR</x:v>
      </x:c>
    </x:row>
    <x:row r="2">
      <x:c r="A2" t="str">
        <x:v>0%</x:v>
      </x:c>
      <x:c r="B2" s="12" t="n">
        <x:v>0.000001178164372780633</x:v>
      </x:c>
      <x:c r="C2" s="12" t="n">
        <x:v>0.0000016956136171338366</x:v>
      </x:c>
      <x:c r="D2" s="12" t="n">
        <x:v>0.0008570733647078808</x:v>
      </x:c>
      <x:c r="E2" s="12" t="n">
        <x:v>0</x:v>
      </x:c>
    </x:row>
    <x:row r="3">
      <x:c r="A3" t="str">
        <x:v>5%</x:v>
      </x:c>
      <x:c r="B3" s="12" t="n">
        <x:v>0.06610326846360297</x:v>
      </x:c>
      <x:c r="C3" s="12" t="n">
        <x:v>0.06861639624455496</x:v>
      </x:c>
      <x:c r="D3" s="12" t="n">
        <x:v>0.060944865474227956</x:v>
      </x:c>
      <x:c r="E3" s="12" t="n">
        <x:v>0.05</x:v>
      </x:c>
    </x:row>
    <x:row r="4">
      <x:c r="A4" t="str">
        <x:v>10%</x:v>
      </x:c>
      <x:c r="B4" s="12" t="n">
        <x:v>0.12164900598271869</x:v>
      </x:c>
      <x:c r="C4" s="12" t="n">
        <x:v>0.12596374438963845</x:v>
      </x:c>
      <x:c r="D4" s="12" t="n">
        <x:v>0.11253913775330958</x:v>
      </x:c>
      <x:c r="E4" s="12" t="n">
        <x:v>0.1</x:v>
      </x:c>
    </x:row>
    <x:row r="5">
      <x:c r="A5" t="str">
        <x:v>15%</x:v>
      </x:c>
      <x:c r="B5" s="12" t="n">
        <x:v>0.1752908298754209</x:v>
      </x:c>
      <x:c r="C5" s="12" t="n">
        <x:v>0.17982999777874617</x:v>
      </x:c>
      <x:c r="D5" s="12" t="n">
        <x:v>0.1638863258191421</x:v>
      </x:c>
      <x:c r="E5" s="12" t="n">
        <x:v>0.15</x:v>
      </x:c>
    </x:row>
    <x:row r="6">
      <x:c r="A6" t="str">
        <x:v>20%</x:v>
      </x:c>
      <x:c r="B6" s="12" t="n">
        <x:v>0.22801132922860867</x:v>
      </x:c>
      <x:c r="C6" s="12" t="n">
        <x:v>0.23338425826230125</x:v>
      </x:c>
      <x:c r="D6" s="12" t="n">
        <x:v>0.21550762293404782</x:v>
      </x:c>
      <x:c r="E6" s="12" t="n">
        <x:v>0.2</x:v>
      </x:c>
    </x:row>
    <x:row r="7">
      <x:c r="A7" t="str">
        <x:v>25%</x:v>
      </x:c>
      <x:c r="B7" s="12" t="n">
        <x:v>0.2798258201791281</x:v>
      </x:c>
      <x:c r="C7" s="12" t="n">
        <x:v>0.28588554268961625</x:v>
      </x:c>
      <x:c r="D7" s="12" t="n">
        <x:v>0.26648032398917465</x:v>
      </x:c>
      <x:c r="E7" s="12" t="n">
        <x:v>0.25</x:v>
      </x:c>
    </x:row>
    <x:row r="8">
      <x:c r="A8" t="str">
        <x:v>30%</x:v>
      </x:c>
      <x:c r="B8" s="12" t="n">
        <x:v>0.3311820051886359</x:v>
      </x:c>
      <x:c r="C8" s="12" t="n">
        <x:v>0.33725076599345155</x:v>
      </x:c>
      <x:c r="D8" s="12" t="n">
        <x:v>0.31656120546210537</x:v>
      </x:c>
      <x:c r="E8" s="12" t="n">
        <x:v>0.3</x:v>
      </x:c>
    </x:row>
    <x:row r="9">
      <x:c r="A9" t="str">
        <x:v>35%</x:v>
      </x:c>
      <x:c r="B9" s="12" t="n">
        <x:v>0.38182186625949305</x:v>
      </x:c>
      <x:c r="C9" s="12" t="n">
        <x:v>0.38922641019945503</x:v>
      </x:c>
      <x:c r="D9" s="12" t="n">
        <x:v>0.3657927349519923</x:v>
      </x:c>
      <x:c r="E9" s="12" t="n">
        <x:v>0.35000000000000003</x:v>
      </x:c>
    </x:row>
    <x:row r="10">
      <x:c r="A10" t="str">
        <x:v>40%</x:v>
      </x:c>
      <x:c r="B10" s="12" t="n">
        <x:v>0.432001065060593</x:v>
      </x:c>
      <x:c r="C10" s="12" t="n">
        <x:v>0.43983030298919723</x:v>
      </x:c>
      <x:c r="D10" s="12" t="n">
        <x:v>0.41356106261654463</x:v>
      </x:c>
      <x:c r="E10" s="12" t="n">
        <x:v>0.4</x:v>
      </x:c>
    </x:row>
    <x:row r="11">
      <x:c r="A11" t="str">
        <x:v>45%</x:v>
      </x:c>
      <x:c r="B11" s="12" t="n">
        <x:v>0.48176908449559247</x:v>
      </x:c>
      <x:c r="C11" s="12" t="n">
        <x:v>0.48936765481376227</x:v>
      </x:c>
      <x:c r="D11" s="12" t="n">
        <x:v>0.4622752595349412</x:v>
      </x:c>
      <x:c r="E11" s="12" t="n">
        <x:v>0.45</x:v>
      </x:c>
    </x:row>
    <x:row r="12">
      <x:c r="A12" t="str">
        <x:v>50%</x:v>
      </x:c>
      <x:c r="B12" s="12" t="n">
        <x:v>0.5306970727327994</x:v>
      </x:c>
      <x:c r="C12" s="12" t="n">
        <x:v>0.5386489689821401</x:v>
      </x:c>
      <x:c r="D12" s="12" t="n">
        <x:v>0.5118272263638856</x:v>
      </x:c>
      <x:c r="E12" s="12" t="n">
        <x:v>0.5</x:v>
      </x:c>
    </x:row>
    <x:row r="13">
      <x:c r="A13" t="str">
        <x:v>55%</x:v>
      </x:c>
      <x:c r="B13" s="12" t="n">
        <x:v>0.5798489122008346</x:v>
      </x:c>
      <x:c r="C13" s="12" t="n">
        <x:v>0.5882151462381964</x:v>
      </x:c>
      <x:c r="D13" s="12" t="n">
        <x:v>0.5604757915381379</x:v>
      </x:c>
      <x:c r="E13" s="12" t="n">
        <x:v>0.55</x:v>
      </x:c>
    </x:row>
    <x:row r="14">
      <x:c r="A14" t="str">
        <x:v>60%</x:v>
      </x:c>
      <x:c r="B14" s="12" t="n">
        <x:v>0.6287391991781125</x:v>
      </x:c>
      <x:c r="C14" s="12" t="n">
        <x:v>0.6365333518720422</x:v>
      </x:c>
      <x:c r="D14" s="12" t="n">
        <x:v>0.6103597777786357</x:v>
      </x:c>
      <x:c r="E14" s="12" t="n">
        <x:v>0.6</x:v>
      </x:c>
    </x:row>
    <x:row r="15">
      <x:c r="A15" t="str">
        <x:v>65%</x:v>
      </x:c>
      <x:c r="B15" s="12" t="n">
        <x:v>0.6773278760759586</x:v>
      </x:c>
      <x:c r="C15" s="12" t="n">
        <x:v>0.6843479602615993</x:v>
      </x:c>
      <x:c r="D15" s="12" t="n">
        <x:v>0.6596221927951788</x:v>
      </x:c>
      <x:c r="E15" s="12" t="n">
        <x:v>0.65</x:v>
      </x:c>
    </x:row>
    <x:row r="16">
      <x:c r="A16" t="str">
        <x:v>70%</x:v>
      </x:c>
      <x:c r="B16" s="12" t="n">
        <x:v>0.7261910652726625</x:v>
      </x:c>
      <x:c r="C16" s="12" t="n">
        <x:v>0.7327611202580046</x:v>
      </x:c>
      <x:c r="D16" s="12" t="n">
        <x:v>0.709788009466414</x:v>
      </x:c>
      <x:c r="E16" s="12" t="n">
        <x:v>0.7000000000000001</x:v>
      </x:c>
    </x:row>
    <x:row r="17">
      <x:c r="A17" t="str">
        <x:v>75%</x:v>
      </x:c>
      <x:c r="B17" s="12" t="n">
        <x:v>0.7744357181736568</x:v>
      </x:c>
      <x:c r="C17" s="12" t="n">
        <x:v>0.780529947079899</x:v>
      </x:c>
      <x:c r="D17" s="12" t="n">
        <x:v>0.7591353596812613</x:v>
      </x:c>
      <x:c r="E17" s="12" t="n">
        <x:v>0.75</x:v>
      </x:c>
    </x:row>
    <x:row r="18">
      <x:c r="A18" t="str">
        <x:v>80%</x:v>
      </x:c>
      <x:c r="B18" s="12" t="n">
        <x:v>0.821868615821805</x:v>
      </x:c>
      <x:c r="C18" s="12" t="n">
        <x:v>0.8274628363885465</x:v>
      </x:c>
      <x:c r="D18" s="12" t="n">
        <x:v>0.8086680230560457</x:v>
      </x:c>
      <x:c r="E18" s="12" t="n">
        <x:v>0.8</x:v>
      </x:c>
    </x:row>
    <x:row r="19">
      <x:c r="A19" t="str">
        <x:v>85%</x:v>
      </x:c>
      <x:c r="B19" s="12" t="n">
        <x:v>0.8683189243830542</x:v>
      </x:c>
      <x:c r="C19" s="12" t="n">
        <x:v>0.8729493672817787</x:v>
      </x:c>
      <x:c r="D19" s="12" t="n">
        <x:v>0.8575019013902347</x:v>
      </x:c>
      <x:c r="E19" s="12" t="n">
        <x:v>0.85</x:v>
      </x:c>
    </x:row>
    <x:row r="20">
      <x:c r="A20" t="str">
        <x:v>90%</x:v>
      </x:c>
      <x:c r="B20" s="12" t="n">
        <x:v>0.9140281675538244</x:v>
      </x:c>
      <x:c r="C20" s="12" t="n">
        <x:v>0.9173354449374912</x:v>
      </x:c>
      <x:c r="D20" s="12" t="n">
        <x:v>0.9060423672211906</x:v>
      </x:c>
      <x:c r="E20" s="12" t="n">
        <x:v>0.9</x:v>
      </x:c>
    </x:row>
    <x:row r="21">
      <x:c r="A21" t="str">
        <x:v>95%</x:v>
      </x:c>
      <x:c r="B21" s="12" t="n">
        <x:v>0.9583212571485124</x:v>
      </x:c>
      <x:c r="C21" s="12" t="n">
        <x:v>0.9603802922220508</x:v>
      </x:c>
      <x:c r="D21" s="12" t="n">
        <x:v>0.9536485458707982</x:v>
      </x:c>
      <x:c r="E21" s="12" t="n">
        <x:v>0.9500000000000001</x:v>
      </x:c>
    </x:row>
    <x:row r="22">
      <x:c r="A22" t="str">
        <x:v>100%</x:v>
      </x:c>
      <x:c r="B22" s="12" t="n">
        <x:v>1</x:v>
      </x:c>
      <x:c r="C22" s="12" t="n">
        <x:v>1</x:v>
      </x:c>
      <x:c r="D22" s="12" t="n">
        <x:v>1</x:v>
      </x:c>
      <x:c r="E22" s="12" t="n">
        <x:v>1</x:v>
      </x:c>
    </x:row>
  </x:sheetData>
  <x:pageMargins left="0.7" right="0.7" top="0.75" bottom="0.75" header="0.3" footer="0.3"/>
</x:worksheet>
</file>