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1afaa190a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体十分位分析" sheetId="1" r:id="Rf1a3b960d610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0"/>
    <x:numFmt numFmtId="203" formatCode="0.00%"/>
    <x:numFmt numFmtId="204" formatCode="0.0000%;[Red]-0.0000%;-"/>
    <x:numFmt numFmtId="205" formatCode="0.00x"/>
  </x:numFmts>
  <x:fonts count="8">
    <x:font>
      <x:sz val="11"/>
      <x:name val="Carlito"/>
    </x:font>
    <x:font>
      <x:b/>
      <x:sz val="16"/>
      <x:color rgb="FFFFFFFF"/>
      <x:name val="Microsoft YaHei"/>
    </x:font>
    <x:font>
      <x:sz val="9"/>
      <x:color rgb="FF404040"/>
      <x:name val="Microsoft YaHei"/>
    </x:font>
    <x:font>
      <x:b/>
      <x:sz val="9"/>
      <x:color rgb="FF17365D"/>
      <x:name val="Microsoft YaHei"/>
    </x:font>
    <x:font>
      <x:b/>
      <x:sz val="15"/>
      <x:color rgb="FF17365D"/>
      <x:name val="Microsoft YaHei"/>
    </x:font>
    <x:font>
      <x:b/>
      <x:sz val="11"/>
      <x:color rgb="FF17365D"/>
      <x:name val="Microsoft YaHei"/>
    </x:font>
    <x:font>
      <x:b/>
      <x:sz val="9"/>
      <x:color rgb="FFFFFFFF"/>
      <x:name val="Microsoft YaHei"/>
    </x:font>
    <x:font>
      <x:sz val="9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4472C4"/>
      </x:patternFill>
    </x:fill>
  </x:fills>
  <x:borders count="11"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bottom style="medium">
        <x:color rgb="FF4472C4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7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8" xfId="0" applyNumberFormat="1" applyFont="1" applyFill="1" applyBorder="1"/>
    <x:xf numFmtId="0" fontId="6" fillId="9" borderId="8" xfId="0" applyNumberFormat="1" applyFont="1" applyFill="1" applyBorder="1" applyAlignment="1">
      <x:alignment wrapText="1"/>
    </x:xf>
    <x:xf numFmtId="0" fontId="6" fillId="9" borderId="8" xfId="0" applyNumberFormat="1" applyFont="1" applyFill="1" applyBorder="1" applyAlignment="1">
      <x:alignment horizont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201" fontId="7" fillId="0" borderId="9" xfId="0" applyNumberFormat="1" applyFont="1" applyFill="1" applyBorder="1" applyAlignment="1">
      <x:alignment vertical="center"/>
    </x:xf>
    <x:xf numFmtId="201" fontId="7" fillId="0" borderId="10" xfId="0" applyNumberFormat="1" applyFont="1" applyFill="1" applyBorder="1" applyAlignment="1">
      <x:alignment vertical="center"/>
    </x:xf>
    <x:xf numFmtId="203" fontId="7" fillId="0" borderId="9" xfId="0" applyNumberFormat="1" applyFont="1" applyFill="1" applyBorder="1" applyAlignment="1">
      <x:alignment vertical="center"/>
    </x:xf>
    <x:xf numFmtId="203" fontId="7" fillId="0" borderId="10" xfId="0" applyNumberFormat="1" applyFont="1" applyFill="1" applyBorder="1" applyAlignment="1">
      <x:alignment vertical="center"/>
    </x:xf>
    <x:xf numFmtId="204" fontId="7" fillId="0" borderId="9" xfId="0" applyNumberFormat="1" applyFont="1" applyFill="1" applyBorder="1" applyAlignment="1">
      <x:alignment vertical="center"/>
    </x:xf>
    <x:xf numFmtId="204" fontId="7" fillId="0" borderId="10" xfId="0" applyNumberFormat="1" applyFont="1" applyFill="1" applyBorder="1" applyAlignment="1">
      <x:alignment vertical="center"/>
    </x:xf>
    <x:xf numFmtId="205" fontId="7" fillId="0" borderId="9" xfId="0" applyNumberFormat="1" applyFont="1" applyFill="1" applyBorder="1" applyAlignment="1">
      <x:alignment vertical="center"/>
    </x:xf>
    <x:xf numFmtId="205" fontId="7" fillId="0" borderId="1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9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9" xfId="0" applyNumberFormat="1" applyFont="1" applyFill="1" applyBorder="1"/>
    <x:xf numFmtId="0" fontId="7" fillId="3" borderId="9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e48fe9432498b" /><Relationship Type="http://schemas.openxmlformats.org/officeDocument/2006/relationships/theme" Target="/xl/theme/theme1.xml" Id="Rf9a8fb1cc04442db" /><Relationship Type="http://schemas.openxmlformats.org/officeDocument/2006/relationships/sharedStrings" Target="/xl/sharedStrings.xml" Id="R2c897086a5b146d2" /><Relationship Type="http://schemas.openxmlformats.org/officeDocument/2006/relationships/worksheet" Target="/xl/worksheets/sheet1.xml" Id="Rf1a3b960d6104e32" /></Relationships>
</file>

<file path=xl/tables/table1.xml><?xml version="1.0" encoding="utf-8"?>
<x:table xmlns:x="http://schemas.openxmlformats.org/spreadsheetml/2006/main" id="1" name="GlobalQuantileTable" displayName="GlobalQuantileTable" ref="A9:J19" headerRowCount="1" totalsRowCount="0" totalsRowShown="0">
  <x:autoFilter ref="A9:J19"/>
  <x:tableColumns count="10">
    <x:tableColumn id="1" name="档位"/>
    <x:tableColumn id="2" name="实际分数范围"/>
    <x:tableColumn id="3" name="方向口径"/>
    <x:tableColumn id="4" name="样本量"/>
    <x:tableColumn id="5" name="样本占比"/>
    <x:tableColumn id="6" name="平均策略收益"/>
    <x:tableColumn id="7" name="胜率"/>
    <x:tableColumn id="8" name="平均盈亏比"/>
    <x:tableColumn id="9" name="做多占比"/>
    <x:tableColumn id="10" name="做空占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e561d9f659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13" hidden="0" customWidth="1"/>
    <x:col min="8" max="8" width="15" hidden="0" customWidth="1"/>
    <x:col min="9" max="9" width="13" hidden="0" customWidth="1"/>
    <x:col min="10" max="10" width="13" hidden="0" customWidth="1"/>
  </x:cols>
  <x:sheetData>
    <x:row r="1" ht="32" customHeight="1">
      <x:c r="A1" s="4" t="str">
        <x:v>全体按分布等样本十等分分析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8" t="str">
        <x:v>只看全体样本：按 score 从小到大排序后等样本切成 10 档。score&gt; 0.50 做多取 Tag，score&lt; 0.50 做空取 -Tag；若某档跨过 0.50，则档内逐笔判定方向。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5" t="str">
        <x:v>等分档数</x:v>
      </x:c>
      <x:c r="B4" s="16"/>
      <x:c r="C4" s="41" t="str">
        <x:v>全体样本</x:v>
      </x:c>
      <x:c r="D4" s="42"/>
      <x:c r="E4" s="15" t="str">
        <x:v>每档样本</x:v>
      </x:c>
      <x:c r="F4" s="16"/>
      <x:c r="G4" s="61" t="str">
        <x:v>最大档差</x:v>
      </x:c>
      <x:c r="H4" s="62"/>
      <x:c r="I4" s="69" t="str">
        <x:v>方向阈值</x:v>
      </x:c>
      <x:c r="J4" s="70"/>
    </x:row>
    <x:row r="5">
      <x:c r="A5" s="31" t="n">
        <x:v>10</x:v>
      </x:c>
      <x:c r="B5" s="32"/>
      <x:c r="C5" s="51" t="n">
        <x:f>SUM(D10:D19)</x:f>
        <x:v>1728000</x:v>
      </x:c>
      <x:c r="D5" s="52"/>
      <x:c r="E5" s="51" t="n">
        <x:f>MIN(D10:D19)</x:f>
        <x:v>172800</x:v>
      </x:c>
      <x:c r="F5" s="52"/>
      <x:c r="G5" s="51" t="n">
        <x:f>MAX(D10:D19)-MIN(D10:D19)</x:f>
        <x:v>0</x:v>
      </x:c>
      <x:c r="H5" s="52"/>
      <x:c r="I5" s="79" t="n">
        <x:v>0.5</x:v>
      </x:c>
      <x:c r="J5" s="80"/>
    </x:row>
    <x:row r="6">
      <x:c r="A6" s="33"/>
      <x:c r="B6" s="34"/>
      <x:c r="C6" s="53"/>
      <x:c r="D6" s="54"/>
      <x:c r="E6" s="53"/>
      <x:c r="F6" s="54"/>
      <x:c r="G6" s="53"/>
      <x:c r="H6" s="54"/>
      <x:c r="I6" s="81"/>
      <x:c r="J6" s="82"/>
    </x:row>
    <x:row r="8" ht="24" customHeight="1">
      <x:c r="A8" s="85" t="str">
        <x:v>全体等样本十档表现</x:v>
      </x:c>
      <x:c r="B8" s="85"/>
      <x:c r="C8" s="85"/>
      <x:c r="D8" s="85"/>
      <x:c r="E8" s="85"/>
      <x:c r="F8" s="85"/>
      <x:c r="G8" s="85"/>
      <x:c r="H8" s="85"/>
      <x:c r="I8" s="85"/>
      <x:c r="J8" s="85"/>
    </x:row>
    <x:row r="9" ht="28" customHeight="1">
      <x:c r="A9" s="91" t="str">
        <x:v>档位</x:v>
      </x:c>
      <x:c r="B9" s="91" t="str">
        <x:v>实际分数范围</x:v>
      </x:c>
      <x:c r="C9" s="91" t="str">
        <x:v>方向口径</x:v>
      </x:c>
      <x:c r="D9" s="91" t="str">
        <x:v>样本量</x:v>
      </x:c>
      <x:c r="E9" s="91" t="str">
        <x:v>样本占比</x:v>
      </x:c>
      <x:c r="F9" s="91" t="str">
        <x:v>平均策略收益</x:v>
      </x:c>
      <x:c r="G9" s="91" t="str">
        <x:v>胜率</x:v>
      </x:c>
      <x:c r="H9" s="91" t="str">
        <x:v>平均盈亏比</x:v>
      </x:c>
      <x:c r="I9" s="91" t="str">
        <x:v>做多占比</x:v>
      </x:c>
      <x:c r="J9" s="91" t="str">
        <x:v>做空占比</x:v>
      </x:c>
    </x:row>
    <x:row r="10">
      <x:c r="A10" s="95" t="str">
        <x:v>Q1</x:v>
      </x:c>
      <x:c r="B10" s="95" t="str">
        <x:v>[0.251401, 0.429918]</x:v>
      </x:c>
      <x:c r="C10" s="95" t="str">
        <x:v>做空</x:v>
      </x:c>
      <x:c r="D10" s="97" t="n">
        <x:v>172800</x:v>
      </x:c>
      <x:c r="E10" s="99" t="n">
        <x:v>0.1</x:v>
      </x:c>
      <x:c r="F10" s="101" t="n">
        <x:v>0.00026012908941107186</x:v>
      </x:c>
      <x:c r="G10" s="99" t="n">
        <x:v>0.5418924989644288</x:v>
      </x:c>
      <x:c r="H10" s="103" t="n">
        <x:v>0.9937358559661611</x:v>
      </x:c>
      <x:c r="I10" s="99" t="n">
        <x:v>0</x:v>
      </x:c>
      <x:c r="J10" s="99" t="n">
        <x:v>1</x:v>
      </x:c>
    </x:row>
    <x:row r="11">
      <x:c r="A11" s="96" t="str">
        <x:v>Q2</x:v>
      </x:c>
      <x:c r="B11" s="96" t="str">
        <x:v>[0.429918, 0.449059]</x:v>
      </x:c>
      <x:c r="C11" s="96" t="str">
        <x:v>做空</x:v>
      </x:c>
      <x:c r="D11" s="98" t="n">
        <x:v>172800</x:v>
      </x:c>
      <x:c r="E11" s="100" t="n">
        <x:v>0.1</x:v>
      </x:c>
      <x:c r="F11" s="102" t="n">
        <x:v>0.00006729995247865275</x:v>
      </x:c>
      <x:c r="G11" s="100" t="n">
        <x:v>0.5249382744873718</x:v>
      </x:c>
      <x:c r="H11" s="104" t="n">
        <x:v>0.9476141058434979</x:v>
      </x:c>
      <x:c r="I11" s="100" t="n">
        <x:v>0</x:v>
      </x:c>
      <x:c r="J11" s="100" t="n">
        <x:v>1</x:v>
      </x:c>
    </x:row>
    <x:row r="12">
      <x:c r="A12" s="96" t="str">
        <x:v>Q3</x:v>
      </x:c>
      <x:c r="B12" s="96" t="str">
        <x:v>[0.449059, 0.463154]</x:v>
      </x:c>
      <x:c r="C12" s="96" t="str">
        <x:v>做空</x:v>
      </x:c>
      <x:c r="D12" s="98" t="n">
        <x:v>172800</x:v>
      </x:c>
      <x:c r="E12" s="100" t="n">
        <x:v>0.1</x:v>
      </x:c>
      <x:c r="F12" s="102" t="n">
        <x:v>-0.0000080577419256137</x:v>
      </x:c>
      <x:c r="G12" s="100" t="n">
        <x:v>0.5134857376426966</x:v>
      </x:c>
      <x:c r="H12" s="104" t="n">
        <x:v>0.9421384119971604</x:v>
      </x:c>
      <x:c r="I12" s="100" t="n">
        <x:v>0</x:v>
      </x:c>
      <x:c r="J12" s="100" t="n">
        <x:v>1</x:v>
      </x:c>
    </x:row>
    <x:row r="13">
      <x:c r="A13" s="96" t="str">
        <x:v>Q4</x:v>
      </x:c>
      <x:c r="B13" s="96" t="str">
        <x:v>[0.463154, 0.475547]</x:v>
      </x:c>
      <x:c r="C13" s="96" t="str">
        <x:v>做空</x:v>
      </x:c>
      <x:c r="D13" s="98" t="n">
        <x:v>172800</x:v>
      </x:c>
      <x:c r="E13" s="100" t="n">
        <x:v>0.1</x:v>
      </x:c>
      <x:c r="F13" s="102" t="n">
        <x:v>-0.00001090036084188216</x:v>
      </x:c>
      <x:c r="G13" s="100" t="n">
        <x:v>0.5116280426954882</x:v>
      </x:c>
      <x:c r="H13" s="104" t="n">
        <x:v>0.9472135804930986</x:v>
      </x:c>
      <x:c r="I13" s="100" t="n">
        <x:v>0</x:v>
      </x:c>
      <x:c r="J13" s="100" t="n">
        <x:v>1</x:v>
      </x:c>
    </x:row>
    <x:row r="14">
      <x:c r="A14" s="96" t="str">
        <x:v>Q5</x:v>
      </x:c>
      <x:c r="B14" s="96" t="str">
        <x:v>[0.475547, 0.487757]</x:v>
      </x:c>
      <x:c r="C14" s="96" t="str">
        <x:v>做空</x:v>
      </x:c>
      <x:c r="D14" s="98" t="n">
        <x:v>172800</x:v>
      </x:c>
      <x:c r="E14" s="100" t="n">
        <x:v>0.1</x:v>
      </x:c>
      <x:c r="F14" s="102" t="n">
        <x:v>-0.000015240315207377469</x:v>
      </x:c>
      <x:c r="G14" s="100" t="n">
        <x:v>0.5096016384929133</x:v>
      </x:c>
      <x:c r="H14" s="104" t="n">
        <x:v>0.9520482887690972</x:v>
      </x:c>
      <x:c r="I14" s="100" t="n">
        <x:v>0</x:v>
      </x:c>
      <x:c r="J14" s="100" t="n">
        <x:v>1</x:v>
      </x:c>
    </x:row>
    <x:row r="15">
      <x:c r="A15" s="96" t="str">
        <x:v>Q6</x:v>
      </x:c>
      <x:c r="B15" s="96" t="str">
        <x:v>[0.487757, 0.500652]</x:v>
      </x:c>
      <x:c r="C15" s="96" t="str">
        <x:v>跨阈值</x:v>
      </x:c>
      <x:c r="D15" s="98" t="n">
        <x:v>172800</x:v>
      </x:c>
      <x:c r="E15" s="100" t="n">
        <x:v>0.1</x:v>
      </x:c>
      <x:c r="F15" s="102" t="n">
        <x:v>0.0000018883859574722914</x:v>
      </x:c>
      <x:c r="G15" s="100" t="n">
        <x:v>0.5060140415176044</x:v>
      </x:c>
      <x:c r="H15" s="104" t="n">
        <x:v>0.9775092540908458</x:v>
      </x:c>
      <x:c r="I15" s="100" t="n">
        <x:v>0.048032407407407406</x:v>
      </x:c>
      <x:c r="J15" s="100" t="n">
        <x:v>0.9519675925925926</x:v>
      </x:c>
    </x:row>
    <x:row r="16">
      <x:c r="A16" s="96" t="str">
        <x:v>Q7</x:v>
      </x:c>
      <x:c r="B16" s="96" t="str">
        <x:v>[0.500652, 0.515303]</x:v>
      </x:c>
      <x:c r="C16" s="96" t="str">
        <x:v>做多</x:v>
      </x:c>
      <x:c r="D16" s="98" t="n">
        <x:v>172800</x:v>
      </x:c>
      <x:c r="E16" s="100" t="n">
        <x:v>0.1</x:v>
      </x:c>
      <x:c r="F16" s="102" t="n">
        <x:v>0.000051182744952351066</x:v>
      </x:c>
      <x:c r="G16" s="100" t="n">
        <x:v>0.4975814968463186</x:v>
      </x:c>
      <x:c r="H16" s="104" t="n">
        <x:v>1.0454605673357371</x:v>
      </x:c>
      <x:c r="I16" s="100" t="n">
        <x:v>1</x:v>
      </x:c>
      <x:c r="J16" s="100" t="n">
        <x:v>0</x:v>
      </x:c>
    </x:row>
    <x:row r="17">
      <x:c r="A17" s="96" t="str">
        <x:v>Q8</x:v>
      </x:c>
      <x:c r="B17" s="96" t="str">
        <x:v>[0.515303, 0.534081]</x:v>
      </x:c>
      <x:c r="C17" s="96" t="str">
        <x:v>做多</x:v>
      </x:c>
      <x:c r="D17" s="98" t="n">
        <x:v>172800</x:v>
      </x:c>
      <x:c r="E17" s="100" t="n">
        <x:v>0.1</x:v>
      </x:c>
      <x:c r="F17" s="102" t="n">
        <x:v>0.00010066451125999056</x:v>
      </x:c>
      <x:c r="G17" s="100" t="n">
        <x:v>0.5039614473576738</x:v>
      </x:c>
      <x:c r="H17" s="104" t="n">
        <x:v>1.0504069760037498</x:v>
      </x:c>
      <x:c r="I17" s="100" t="n">
        <x:v>1</x:v>
      </x:c>
      <x:c r="J17" s="100" t="n">
        <x:v>0</x:v>
      </x:c>
    </x:row>
    <x:row r="18">
      <x:c r="A18" s="96" t="str">
        <x:v>Q9</x:v>
      </x:c>
      <x:c r="B18" s="96" t="str">
        <x:v>[0.534081, 0.564116]</x:v>
      </x:c>
      <x:c r="C18" s="96" t="str">
        <x:v>做多</x:v>
      </x:c>
      <x:c r="D18" s="98" t="n">
        <x:v>172800</x:v>
      </x:c>
      <x:c r="E18" s="100" t="n">
        <x:v>0.1</x:v>
      </x:c>
      <x:c r="F18" s="102" t="n">
        <x:v>0.00019886115534908805</x:v>
      </x:c>
      <x:c r="G18" s="100" t="n">
        <x:v>0.5105457682845783</x:v>
      </x:c>
      <x:c r="H18" s="104" t="n">
        <x:v>1.077830821526187</x:v>
      </x:c>
      <x:c r="I18" s="100" t="n">
        <x:v>1</x:v>
      </x:c>
      <x:c r="J18" s="100" t="n">
        <x:v>0</x:v>
      </x:c>
    </x:row>
    <x:row r="19">
      <x:c r="A19" s="96" t="str">
        <x:v>Q10</x:v>
      </x:c>
      <x:c r="B19" s="96" t="str">
        <x:v>[0.564116, 0.793733]</x:v>
      </x:c>
      <x:c r="C19" s="96" t="str">
        <x:v>做多</x:v>
      </x:c>
      <x:c r="D19" s="98" t="n">
        <x:v>172800</x:v>
      </x:c>
      <x:c r="E19" s="100" t="n">
        <x:v>0.1</x:v>
      </x:c>
      <x:c r="F19" s="102" t="n">
        <x:v>0.0009890802515959548</x:v>
      </x:c>
      <x:c r="G19" s="100" t="n">
        <x:v>0.5464639473270944</x:v>
      </x:c>
      <x:c r="H19" s="104" t="n">
        <x:v>1.2828914012307844</x:v>
      </x:c>
      <x:c r="I19" s="100" t="n">
        <x:v>1</x:v>
      </x:c>
      <x:c r="J19" s="100" t="n">
        <x:v>0</x:v>
      </x:c>
    </x:row>
    <x:row r="21" ht="24" customHeight="1">
      <x:c r="A21" s="85" t="str">
        <x:v>关键结论</x:v>
      </x:c>
      <x:c r="B21" s="85"/>
      <x:c r="C21" s="85"/>
      <x:c r="D21" s="85"/>
      <x:c r="E21" s="85"/>
      <x:c r="F21" s="85"/>
      <x:c r="G21" s="85"/>
      <x:c r="H21" s="85"/>
      <x:c r="I21" s="85"/>
      <x:c r="J21" s="85"/>
    </x:row>
    <x:row r="22" ht="28" customHeight="1">
      <x:c r="A22" s="108" t="str">
        <x:v>1. 全体 1,728,000 条样本被等分为 10 档，每档 172,800 条、占比 10%，最大档差为 0。</x:v>
      </x:c>
      <x:c r="B22" s="108"/>
      <x:c r="C22" s="108"/>
      <x:c r="D22" s="108"/>
      <x:c r="E22" s="108"/>
      <x:c r="F22" s="108"/>
      <x:c r="G22" s="108"/>
      <x:c r="H22" s="108"/>
      <x:c r="I22" s="108"/>
      <x:c r="J22" s="108"/>
    </x:row>
    <x:row r="23" ht="28" customHeight="1">
      <x:c r="A23" s="112" t="str">
        <x:v>2. 平均策略收益最高为 Q10（[0.564116, 0.793733]），为 0.0989%；最低为 Q5（[0.475547, 0.487757]），为 -0.0015%。</x:v>
      </x:c>
      <x:c r="B23" s="112"/>
      <x:c r="C23" s="112"/>
      <x:c r="D23" s="112"/>
      <x:c r="E23" s="112"/>
      <x:c r="F23" s="112"/>
      <x:c r="G23" s="112"/>
      <x:c r="H23" s="112"/>
      <x:c r="I23" s="112"/>
      <x:c r="J23" s="112"/>
    </x:row>
    <x:row r="24" ht="28" customHeight="1">
      <x:c r="A24" s="108" t="str">
        <x:v>3. Q6 跨过 0.50；该档逐笔按 score 与 0.50 的关系计算多空，不强行归为单一方向。</x:v>
      </x:c>
      <x:c r="B24" s="108"/>
      <x:c r="C24" s="108"/>
      <x:c r="D24" s="108"/>
      <x:c r="E24" s="108"/>
      <x:c r="F24" s="108"/>
      <x:c r="G24" s="108"/>
      <x:c r="H24" s="108"/>
      <x:c r="I24" s="108"/>
      <x:c r="J24" s="108"/>
    </x:row>
    <x:row r="25" ht="28" customHeight="1">
      <x:c r="A25" s="112" t="str">
        <x:v>4. 分数边界完全由全体样本分布决定，没有再使用按合约或按月份的独立边界。</x:v>
      </x:c>
      <x:c r="B25" s="112"/>
      <x:c r="C25" s="112"/>
      <x:c r="D25" s="112"/>
      <x:c r="E25" s="112"/>
      <x:c r="F25" s="112"/>
      <x:c r="G25" s="112"/>
      <x:c r="H25" s="112"/>
      <x:c r="I25" s="112"/>
      <x:c r="J25" s="112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21:J21"/>
    <x:mergeCell ref="A22:J22"/>
    <x:mergeCell ref="A23:J23"/>
    <x:mergeCell ref="A24:J24"/>
    <x:mergeCell ref="A25:J25"/>
  </x:mergeCells>
  <x:conditionalFormatting sqref="F10:F19">
    <x:cfRule type="colorScale" priority="1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G10:G19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H10:H19">
    <x:cfRule type="colorScale" priority="3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C10:C19">
    <x:cfRule type="containsText" dxfId="0" priority="4" operator="containsText" text="跨阈值"/>
  </x:conditionalFormatting>
  <x:pageMargins left="0.7" right="0.7" top="0.75" bottom="0.75" header="0.3" footer="0.3"/>
  <x:tableParts count="1">
    <x:tablePart xmlns:r="http://schemas.openxmlformats.org/officeDocument/2006/relationships" r:id="R06e561d9f65943a4"/>
  </x:tableParts>
</x:worksheet>
</file>